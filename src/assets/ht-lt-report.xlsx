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filterPrivacy="1"/>
  <xr:revisionPtr revIDLastSave="0" documentId="13_ncr:1_{11E57C9F-6F8E-498D-A761-6FD45A90680A}" xr6:coauthVersionLast="47" xr6:coauthVersionMax="47" xr10:uidLastSave="{00000000-0000-0000-0000-000000000000}"/>
  <bookViews>
    <workbookView xWindow="-110" yWindow="-110" windowWidth="19420" windowHeight="10300" xr2:uid="{00000000-000D-0000-FFFF-FFFF00000000}"/>
  </bookViews>
  <sheets>
    <sheet name="PCT,Rating-Report- HT" sheetId="4" r:id="rId1"/>
    <sheet name="PCT-Report_Data list" sheetId="5" state="hidden" r:id="rId2"/>
    <sheet name="Rating Report" sheetId="1" state="hidden" r:id="rId3"/>
    <sheet name="PC-TEST,Rating LT" sheetId="6" r:id="rId4"/>
    <sheet name="C-Report_Data list" sheetId="3" state="hidden" r:id="rId5"/>
  </sheets>
  <definedNames>
    <definedName name="_xlnm.Print_Area" localSheetId="0">'PCT,Rating-Report- HT'!$A$1:$CO$129</definedName>
    <definedName name="_xlnm.Print_Area" localSheetId="2">'Rating Report'!$A$1:$CO$175</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Z67" i="1" l="1"/>
  <c r="BZ109" i="1"/>
  <c r="AS71" i="1"/>
  <c r="AS113" i="1"/>
  <c r="AE58" i="4"/>
  <c r="P58" i="4"/>
  <c r="T145" i="1"/>
  <c r="AL145" i="1"/>
  <c r="AC145" i="1"/>
  <c r="K145" i="1"/>
  <c r="BG38" i="1"/>
  <c r="BS71" i="1"/>
  <c r="U71" i="1"/>
  <c r="DG71" i="1"/>
  <c r="CN71" i="1"/>
  <c r="CL71" i="1"/>
  <c r="CJ71" i="1"/>
  <c r="CH71" i="1"/>
  <c r="CF71" i="1"/>
  <c r="CD71" i="1"/>
  <c r="BG71" i="1"/>
  <c r="AF71" i="1"/>
  <c r="A24" i="1"/>
  <c r="U47" i="4"/>
  <c r="U46" i="4"/>
  <c r="AN23" i="4"/>
  <c r="EO14" i="4"/>
  <c r="EO12" i="4"/>
  <c r="EO13" i="4"/>
  <c r="BS113" i="1"/>
  <c r="U113" i="1"/>
  <c r="CN113" i="1"/>
  <c r="CL113" i="1"/>
  <c r="CJ113" i="1"/>
  <c r="CH113" i="1"/>
  <c r="CF113" i="1"/>
  <c r="CD113" i="1"/>
  <c r="BG113" i="1"/>
  <c r="X30" i="1"/>
  <c r="G71" i="1"/>
  <c r="G113" i="1" s="1"/>
  <c r="BD173" i="1"/>
  <c r="BD174" i="1"/>
  <c r="BD172" i="1"/>
  <c r="CE68" i="1"/>
  <c r="CE110" i="1"/>
  <c r="AF113" i="1"/>
  <c r="EN13" i="1"/>
  <c r="EN12" i="1"/>
  <c r="EJ13" i="1"/>
  <c r="EN11" i="1"/>
</calcChain>
</file>

<file path=xl/sharedStrings.xml><?xml version="1.0" encoding="utf-8"?>
<sst xmlns="http://schemas.openxmlformats.org/spreadsheetml/2006/main" count="919" uniqueCount="466">
  <si>
    <t>BANGALORE ELECTRICITY SUPPLY COMPANY LIMITED</t>
  </si>
  <si>
    <t>(Wholly Owned by Government of Karnataka Undertaking)</t>
  </si>
  <si>
    <t>No.: EEE/AEE/HTR/HSR/MT/BMAZ/16-17/</t>
  </si>
  <si>
    <t>Encl. : Annexure-I</t>
  </si>
  <si>
    <t>Office of the Executive Engineer (Ele.)</t>
  </si>
  <si>
    <t>MT Division, BMAZ, BESCOM</t>
  </si>
  <si>
    <t>#537, VSR Sabhangana, Bhavani Nagar,</t>
  </si>
  <si>
    <t>Date :</t>
  </si>
  <si>
    <t>To,</t>
  </si>
  <si>
    <t>The Assistant Executive Engineer (Ele.)</t>
  </si>
  <si>
    <t>C, O &amp; M Sub-Division BMAZ, BESCOM,</t>
  </si>
  <si>
    <t>BENGALURU</t>
  </si>
  <si>
    <t>Sir/Madam,</t>
  </si>
  <si>
    <t>HT</t>
  </si>
  <si>
    <t>EHT</t>
  </si>
  <si>
    <t>1st rating.</t>
  </si>
  <si>
    <t>additional load.</t>
  </si>
  <si>
    <t>reduction in load.</t>
  </si>
  <si>
    <t>attending complaint / fault occurred.</t>
  </si>
  <si>
    <t>Conducting De-Commission Test.</t>
  </si>
  <si>
    <t>faulty meter replacement.</t>
  </si>
  <si>
    <t>replacement of old meter with new meter.</t>
  </si>
  <si>
    <t>YES</t>
  </si>
  <si>
    <t>NO</t>
  </si>
  <si>
    <t>220 kV</t>
  </si>
  <si>
    <t>66 kV</t>
  </si>
  <si>
    <t>11 kV</t>
  </si>
  <si>
    <t>Cat-A</t>
  </si>
  <si>
    <t>Cat-B</t>
  </si>
  <si>
    <t>Cat-C</t>
  </si>
  <si>
    <t>RS-232 &amp; OP</t>
  </si>
  <si>
    <t>RS-485 &amp; OP</t>
  </si>
  <si>
    <t>RS-232</t>
  </si>
  <si>
    <t>RS-485</t>
  </si>
  <si>
    <t>OP</t>
  </si>
  <si>
    <t>Oil filled</t>
  </si>
  <si>
    <t>Resin Cast</t>
  </si>
  <si>
    <t>GOS</t>
  </si>
  <si>
    <t>LBS</t>
  </si>
  <si>
    <t>RMU</t>
  </si>
  <si>
    <t xml:space="preserve">Field Calibration test report of </t>
  </si>
  <si>
    <t>Installation bearing RR No.:</t>
  </si>
  <si>
    <t>of</t>
  </si>
  <si>
    <t>O &amp; M Unit.</t>
  </si>
  <si>
    <t>*** ***</t>
  </si>
  <si>
    <t>The</t>
  </si>
  <si>
    <t>Installation having the following details has been calibrated on</t>
  </si>
  <si>
    <t>for</t>
  </si>
  <si>
    <t xml:space="preserve">                    You are requested to take action on the observations and advises recorded in the report enclosed herewith. Compliance report shall be sent to this office regarding the action taken at your end.</t>
  </si>
  <si>
    <t>TOD:</t>
  </si>
  <si>
    <t>ABT:</t>
  </si>
  <si>
    <t>Name and Address of the Consumer</t>
  </si>
  <si>
    <t>PARTICULARS</t>
  </si>
  <si>
    <t>Nature of installation found</t>
  </si>
  <si>
    <t>CD in kVA</t>
  </si>
  <si>
    <t>RR No.</t>
  </si>
  <si>
    <t>Previously calibrated Date</t>
  </si>
  <si>
    <t>Existing billing Tariff</t>
  </si>
  <si>
    <t>EXISTING</t>
  </si>
  <si>
    <t>Meter constant (MC)</t>
  </si>
  <si>
    <t>Connected PT Ratio (CCTR)</t>
  </si>
  <si>
    <t>Existing / Released Meter Sl. No.</t>
  </si>
  <si>
    <t>Existing / Newly Fixed Meter Sl. No.</t>
  </si>
  <si>
    <t>C kWh / B kWh</t>
  </si>
  <si>
    <t>C / B kWh TOD Zone-0</t>
  </si>
  <si>
    <t>r / B kVA (MD)</t>
  </si>
  <si>
    <t>r / Avg. Power Factor</t>
  </si>
  <si>
    <t>→ IMPORT</t>
  </si>
  <si>
    <t>← EXPORT</t>
  </si>
  <si>
    <t>With Existing MC</t>
  </si>
  <si>
    <t>With Existing / New MC</t>
  </si>
  <si>
    <t>New MC with effect from</t>
  </si>
  <si>
    <t>HTR, HSR, MTD, BMAZ, BESCOM, Bengaluru</t>
  </si>
  <si>
    <t>Yours Faithfully</t>
  </si>
  <si>
    <t>(ANANDAKUMAR K)</t>
  </si>
  <si>
    <t>Assistant Executive Engineer (Ele.)</t>
  </si>
  <si>
    <t>Copy Submitted:</t>
  </si>
  <si>
    <t>1. The Executive Engineer (Ele.), MT Division, BMAZ, BESCOM, Bengaluru-19</t>
  </si>
  <si>
    <t>2. The Executive Engineer (Ele.), HSR C, O &amp; M Division, BMAZ, BESCOM, Bengaluru</t>
  </si>
  <si>
    <t>Gavipuram, Basavanagudi, Bengaluru-19</t>
  </si>
  <si>
    <t>Connected CT Ratio (CCTR)</t>
  </si>
  <si>
    <t>FINAL READINGS (FR)</t>
  </si>
  <si>
    <t>INTIAL READINGS (IR)</t>
  </si>
  <si>
    <t>C kWh</t>
  </si>
  <si>
    <t>C kWh TOD Zone-0</t>
  </si>
  <si>
    <t>r kVA (MD)</t>
  </si>
  <si>
    <t>r Power Factor</t>
  </si>
  <si>
    <t>No.:</t>
  </si>
  <si>
    <t>ANNEXURE-1</t>
  </si>
  <si>
    <t>DETAILED CALIBRATION REPORT</t>
  </si>
  <si>
    <t>Date</t>
  </si>
  <si>
    <t>SEALS DETAILS</t>
  </si>
  <si>
    <t>Meter Cover</t>
  </si>
  <si>
    <t>Terminal Cover</t>
  </si>
  <si>
    <t>MD Reset Button</t>
  </si>
  <si>
    <t>Test Terminal Block</t>
  </si>
  <si>
    <t>CT&amp;PT Chamber</t>
  </si>
  <si>
    <t>Cable Entery Chamber</t>
  </si>
  <si>
    <t>Hologram</t>
  </si>
  <si>
    <t>Optical Port</t>
  </si>
  <si>
    <t>Modem SIM Card Slot</t>
  </si>
  <si>
    <t>METER DETAILS</t>
  </si>
  <si>
    <t>Make</t>
  </si>
  <si>
    <t>Category/Type</t>
  </si>
  <si>
    <t>Class</t>
  </si>
  <si>
    <t>Voltage</t>
  </si>
  <si>
    <t>Amps</t>
  </si>
  <si>
    <t>Pulse</t>
  </si>
  <si>
    <t>Dial Constant</t>
  </si>
  <si>
    <t>Sl. No.</t>
  </si>
  <si>
    <t>Year &amp; Mfd.</t>
  </si>
  <si>
    <t>Wiring Type</t>
  </si>
  <si>
    <t>Com. Port Avail.</t>
  </si>
  <si>
    <t>Make:</t>
  </si>
  <si>
    <t>REPLACED</t>
  </si>
  <si>
    <t>Meter Reading Window</t>
  </si>
  <si>
    <t>Cubicle Main Door</t>
  </si>
  <si>
    <t>DLMS, TOD &amp; ABT</t>
  </si>
  <si>
    <t>DLMS &amp; TOD</t>
  </si>
  <si>
    <t>DLMS</t>
  </si>
  <si>
    <t>TOD</t>
  </si>
  <si>
    <t>TOD &amp; ABT</t>
  </si>
  <si>
    <t>NTA46.00</t>
  </si>
  <si>
    <t>Features available</t>
  </si>
  <si>
    <t>ANALOGICS</t>
  </si>
  <si>
    <t>SEALS FOUND</t>
  </si>
  <si>
    <t>SEALS LEFT</t>
  </si>
  <si>
    <t>Main Meter</t>
  </si>
  <si>
    <t>Check Meter</t>
  </si>
  <si>
    <t>3P3W</t>
  </si>
  <si>
    <t>3P4W</t>
  </si>
  <si>
    <t>Modem</t>
  </si>
  <si>
    <t>SIM MDN No.</t>
  </si>
  <si>
    <t>PARAMETERS</t>
  </si>
  <si>
    <t>Total C kWh</t>
  </si>
  <si>
    <t>C kWH Zone-0</t>
  </si>
  <si>
    <t>C kWh Zone-1</t>
  </si>
  <si>
    <t>C KWh Zone-2</t>
  </si>
  <si>
    <t>C kVAh</t>
  </si>
  <si>
    <t>C MD kVA</t>
  </si>
  <si>
    <t>Total Billing kWh</t>
  </si>
  <si>
    <t>Billing kWh Zone-0</t>
  </si>
  <si>
    <t>% THD Voltage</t>
  </si>
  <si>
    <t>% THD Current</t>
  </si>
  <si>
    <t>Anomaly/Diagnose</t>
  </si>
  <si>
    <t>MD Reset Count</t>
  </si>
  <si>
    <t>Auto/Manual</t>
  </si>
  <si>
    <t>r MD kVA</t>
  </si>
  <si>
    <t>r Avg. PF</t>
  </si>
  <si>
    <t>C KVArh Lag</t>
  </si>
  <si>
    <t>C KVArh Lead</t>
  </si>
  <si>
    <t>Billing kWh Zone-1</t>
  </si>
  <si>
    <t>Billing kWh Zone-2</t>
  </si>
  <si>
    <t>Billing kVAh</t>
  </si>
  <si>
    <t>Billing kVA / MD</t>
  </si>
  <si>
    <t>Billing kVA Zone-0</t>
  </si>
  <si>
    <t>Billing kVA Zone-1</t>
  </si>
  <si>
    <t>Billing kVA Zone-2</t>
  </si>
  <si>
    <t>Billing / Avg. PF</t>
  </si>
  <si>
    <t>CH kVArH Lead</t>
  </si>
  <si>
    <t>CL kVArh Lag</t>
  </si>
  <si>
    <t>CH kVArH Lag</t>
  </si>
  <si>
    <t>CL kVArh Lead</t>
  </si>
  <si>
    <t xml:space="preserve">Time </t>
  </si>
  <si>
    <t>EXISTING METER</t>
  </si>
  <si>
    <t>REPLACED METER</t>
  </si>
  <si>
    <t>MAIN / BILLING METER</t>
  </si>
  <si>
    <t>CHECK METER</t>
  </si>
  <si>
    <t>METER READINGS FOUND</t>
  </si>
  <si>
    <t>Phase Sequence</t>
  </si>
  <si>
    <t>Phase</t>
  </si>
  <si>
    <t>Current</t>
  </si>
  <si>
    <t>Pr. PF/kW/kVAr/kVA</t>
  </si>
  <si>
    <t>Forward</t>
  </si>
  <si>
    <t>Reverse</t>
  </si>
  <si>
    <r>
      <t xml:space="preserve">R </t>
    </r>
    <r>
      <rPr>
        <sz val="8"/>
        <color theme="1"/>
        <rFont val="Calibri"/>
        <family val="2"/>
      </rPr>
      <t>ɸ</t>
    </r>
  </si>
  <si>
    <t>R ɸ</t>
  </si>
  <si>
    <r>
      <t xml:space="preserve">Y </t>
    </r>
    <r>
      <rPr>
        <sz val="8"/>
        <color theme="1"/>
        <rFont val="Calibri"/>
        <family val="2"/>
      </rPr>
      <t>ɸ</t>
    </r>
  </si>
  <si>
    <r>
      <t xml:space="preserve">B </t>
    </r>
    <r>
      <rPr>
        <sz val="8"/>
        <color theme="1"/>
        <rFont val="Calibri"/>
        <family val="2"/>
      </rPr>
      <t>ɸ</t>
    </r>
  </si>
  <si>
    <t>Y ɸ</t>
  </si>
  <si>
    <t>B ɸ</t>
  </si>
  <si>
    <t>CALIBRATOR</t>
  </si>
  <si>
    <t>EXISTING CHECK METER</t>
  </si>
  <si>
    <t>CT &amp; PT Details:</t>
  </si>
  <si>
    <t>Type</t>
  </si>
  <si>
    <t>Insulation</t>
  </si>
  <si>
    <t>Burden</t>
  </si>
  <si>
    <t>Ratio Exist.</t>
  </si>
  <si>
    <t>Ratio Conn.t</t>
  </si>
  <si>
    <t>CURRENT TRANSFORMER</t>
  </si>
  <si>
    <t>POTENTIAL TRANSFORMER</t>
  </si>
  <si>
    <t>FIXED</t>
  </si>
  <si>
    <t>METERING CUBICAL DETAILS</t>
  </si>
  <si>
    <t>TRANSFORMER DETAILS</t>
  </si>
  <si>
    <t>Capacity</t>
  </si>
  <si>
    <t>Volatge Rating</t>
  </si>
  <si>
    <t>Vector Group</t>
  </si>
  <si>
    <t>Current Rating</t>
  </si>
  <si>
    <t>kW for Calibration</t>
  </si>
  <si>
    <t>kVArh for Calibration</t>
  </si>
  <si>
    <t>REPLACED MAIN METER</t>
  </si>
  <si>
    <t>REPLACED CHECK METER</t>
  </si>
  <si>
    <t>EXISTING MAIN / BILLING METER</t>
  </si>
  <si>
    <t>MAIN / BILLING METER INSTANTANEOUS PARAMETERS &amp; CALIBRATION RESULT</t>
  </si>
  <si>
    <t xml:space="preserve">CHECK METER INSTANTANEOUS PARAMETERS &amp; CALIBRATION RESULT </t>
  </si>
  <si>
    <t>Consumer / Representative</t>
  </si>
  <si>
    <t>Signature with Seal</t>
  </si>
  <si>
    <t>-</t>
  </si>
  <si>
    <r>
      <rPr>
        <b/>
        <sz val="10"/>
        <color theme="1"/>
        <rFont val="Times New Roman"/>
        <family val="1"/>
      </rPr>
      <t>Final &amp; Initial Readings</t>
    </r>
    <r>
      <rPr>
        <sz val="9"/>
        <color theme="1"/>
        <rFont val="Times New Roman"/>
        <family val="1"/>
      </rPr>
      <t xml:space="preserve"> </t>
    </r>
    <r>
      <rPr>
        <sz val="8"/>
        <color theme="1"/>
        <rFont val="Times New Roman"/>
        <family val="1"/>
      </rPr>
      <t>(Applicable for Connected CTR Change / Meter Replacement / De-Commission Test)</t>
    </r>
  </si>
  <si>
    <t>Details of Installation :</t>
  </si>
  <si>
    <t>Auto</t>
  </si>
  <si>
    <t>Manual</t>
  </si>
  <si>
    <t>Indoor Resin Cast</t>
  </si>
  <si>
    <t>Outdoor Oil Filled</t>
  </si>
  <si>
    <t>Calibrated using MTE Automatic Calibrator via Scaner</t>
  </si>
  <si>
    <t>Advice on Renvenu Matter:</t>
  </si>
  <si>
    <t>Observation &amp; Advice on Technical Matter:</t>
  </si>
  <si>
    <t>Page 2/2</t>
  </si>
  <si>
    <r>
      <t xml:space="preserve">%age Error                    </t>
    </r>
    <r>
      <rPr>
        <b/>
        <sz val="5"/>
        <color theme="1"/>
        <rFont val="Calibri"/>
        <family val="2"/>
        <scheme val="minor"/>
      </rPr>
      <t>= ((MRI-Calibrator)/MRI) x 100</t>
    </r>
  </si>
  <si>
    <t>Page 1/2</t>
  </si>
  <si>
    <t>RR No.:</t>
  </si>
  <si>
    <t>Date:</t>
  </si>
  <si>
    <t>Existing CD:</t>
  </si>
  <si>
    <t>New CD:</t>
  </si>
  <si>
    <t>Existing MC:</t>
  </si>
  <si>
    <t>New MC:</t>
  </si>
  <si>
    <t>MODEM &amp; SIM DETAILS</t>
  </si>
  <si>
    <r>
      <rPr>
        <b/>
        <u/>
        <sz val="11"/>
        <rFont val="Times New Roman"/>
        <family val="1"/>
      </rPr>
      <t>Sub</t>
    </r>
    <r>
      <rPr>
        <b/>
        <sz val="11"/>
        <rFont val="Times New Roman"/>
        <family val="1"/>
      </rPr>
      <t>:</t>
    </r>
  </si>
  <si>
    <r>
      <rPr>
        <b/>
        <u/>
        <sz val="11"/>
        <rFont val="Times New Roman"/>
        <family val="1"/>
      </rPr>
      <t>Ref</t>
    </r>
    <r>
      <rPr>
        <b/>
        <sz val="11"/>
        <rFont val="Times New Roman"/>
        <family val="1"/>
      </rPr>
      <t>:</t>
    </r>
  </si>
  <si>
    <t>Assistant  Engineer (Ele.)</t>
  </si>
  <si>
    <t>Not Applicable</t>
  </si>
  <si>
    <t xml:space="preserve">          Existing meter calibrated and found recording within permissible limit of error.</t>
  </si>
  <si>
    <t>As Existing</t>
  </si>
  <si>
    <t>UN</t>
  </si>
  <si>
    <t>Retained</t>
  </si>
  <si>
    <t>Encl. :</t>
  </si>
  <si>
    <t>Pre-Commission Test Report of</t>
  </si>
  <si>
    <t>Installation in</t>
  </si>
  <si>
    <t>1) Your request letter No.:</t>
  </si>
  <si>
    <t>2) Power Sanction letter No.:</t>
  </si>
  <si>
    <t>The Pre-Commission test conducted on</t>
  </si>
  <si>
    <t>metering cubicle on</t>
  </si>
  <si>
    <t xml:space="preserve">and following details </t>
  </si>
  <si>
    <t>for your further needful.</t>
  </si>
  <si>
    <t>1. Details of Installation:</t>
  </si>
  <si>
    <t>Sanctioned Contract Demand in kVA</t>
  </si>
  <si>
    <t>Tariff Sanctioned asper Power Sanction Letter</t>
  </si>
  <si>
    <t>Connected Current Transformer Ratio (CCTR)</t>
  </si>
  <si>
    <t>Connected Potential Transformer Ratio (CPTR)</t>
  </si>
  <si>
    <t>2. Supply Voltage:</t>
  </si>
  <si>
    <t>3. Input Source Type:</t>
  </si>
  <si>
    <t>4.</t>
  </si>
  <si>
    <t>5. Meggar Values with 5 kV and 500 V Meggar:</t>
  </si>
  <si>
    <t>HT to LT (5 kV Meggar) in M Ohms</t>
  </si>
  <si>
    <t>&gt; 2500</t>
  </si>
  <si>
    <t>HT to Ground (5 kV Meggar) in M Ohms</t>
  </si>
  <si>
    <t>LT to Ground (500 V Meggar) in M Ohms</t>
  </si>
  <si>
    <t>&gt;500</t>
  </si>
  <si>
    <t>6. Ratio Test Results (at field):</t>
  </si>
  <si>
    <t>PARTICULERS</t>
  </si>
  <si>
    <t>CONNECTED CT RATIO</t>
  </si>
  <si>
    <t>PRIMARY INJECTED</t>
  </si>
  <si>
    <t xml:space="preserve">SECONDARY MEASURED </t>
  </si>
  <si>
    <t>Current Transformer</t>
  </si>
  <si>
    <t>Potential Transformer</t>
  </si>
  <si>
    <t>2 V</t>
  </si>
  <si>
    <t>7. Installed CT &amp; PT Details:</t>
  </si>
  <si>
    <t>8. Metering Cubicle Details:</t>
  </si>
  <si>
    <t>CT</t>
  </si>
  <si>
    <t>PT</t>
  </si>
  <si>
    <t>Serial No.</t>
  </si>
  <si>
    <t>9. Transformer Details:</t>
  </si>
  <si>
    <t>Capacity in kVA</t>
  </si>
  <si>
    <t>Ratio Existing</t>
  </si>
  <si>
    <t>Voltage Ratings</t>
  </si>
  <si>
    <t>Ratio Connected</t>
  </si>
  <si>
    <t>Current Ratings</t>
  </si>
  <si>
    <t>10. MODEM &amp; SIM Card Details:</t>
  </si>
  <si>
    <t>Modem Make &amp; Sl. No.</t>
  </si>
  <si>
    <t>Action to be taken by O&amp;M / SDO</t>
  </si>
  <si>
    <t>11. Generator Capacity in kVA (if found/installed):</t>
  </si>
  <si>
    <t>12. Meter Details:</t>
  </si>
  <si>
    <t>13. Seals Details:</t>
  </si>
  <si>
    <t>MAIN METER</t>
  </si>
  <si>
    <t>Lead / P.C.</t>
  </si>
  <si>
    <t>Plastic/Mfg.</t>
  </si>
  <si>
    <t>Category</t>
  </si>
  <si>
    <t>Main Door</t>
  </si>
  <si>
    <t>Reading Window</t>
  </si>
  <si>
    <t>14. Intial Readings Found:</t>
  </si>
  <si>
    <t>Whether display parameters of ETV meter are as per BESCOM requirement:</t>
  </si>
  <si>
    <t>15. Observations:</t>
  </si>
  <si>
    <t>HTR, HSR, MT Division, BMAZ</t>
  </si>
  <si>
    <t>BESCOM, Bengaluru</t>
  </si>
  <si>
    <t>Indoor</t>
  </si>
  <si>
    <t>Outdoor</t>
  </si>
  <si>
    <t xml:space="preserve"> Forward</t>
  </si>
  <si>
    <r>
      <t>NEW</t>
    </r>
    <r>
      <rPr>
        <b/>
        <sz val="9"/>
        <rFont val="Times New Roman"/>
        <family val="1"/>
      </rPr>
      <t xml:space="preserve"> </t>
    </r>
    <r>
      <rPr>
        <sz val="9"/>
        <rFont val="Times New Roman"/>
        <family val="1"/>
      </rPr>
      <t>(if &amp; only CT/PT ratio modified)</t>
    </r>
  </si>
  <si>
    <t>(11kV/√3)/ (110/√3) V</t>
  </si>
  <si>
    <t>200 V</t>
  </si>
  <si>
    <t>11kV/110V</t>
  </si>
  <si>
    <t>(11kV/√3)/ ((110/√3) V - (110/√3))</t>
  </si>
  <si>
    <r>
      <rPr>
        <b/>
        <sz val="9"/>
        <color theme="1"/>
        <rFont val="Calibri"/>
        <family val="2"/>
        <scheme val="minor"/>
      </rPr>
      <t xml:space="preserve">%age Error                    </t>
    </r>
    <r>
      <rPr>
        <b/>
        <sz val="6"/>
        <color theme="1"/>
        <rFont val="Calibri"/>
        <family val="2"/>
        <scheme val="minor"/>
      </rPr>
      <t>= ((MRI-Calibrator)/MRI) x 100</t>
    </r>
  </si>
  <si>
    <t>0.2S</t>
  </si>
  <si>
    <t>0.5S</t>
  </si>
  <si>
    <t>3x63.5V</t>
  </si>
  <si>
    <t>110V</t>
  </si>
  <si>
    <t>HT-2(A) I</t>
  </si>
  <si>
    <t>HT-1</t>
  </si>
  <si>
    <t>HT-2(A) II</t>
  </si>
  <si>
    <t>HT-2(B) II</t>
  </si>
  <si>
    <t>HT-2(B) I</t>
  </si>
  <si>
    <t>HT-3(A) I</t>
  </si>
  <si>
    <t>HT-3(A) II</t>
  </si>
  <si>
    <t>HT-3(B)</t>
  </si>
  <si>
    <t>HT-2(C) I</t>
  </si>
  <si>
    <t>HT-2(C) II</t>
  </si>
  <si>
    <t>HT-4</t>
  </si>
  <si>
    <t>HT-5</t>
  </si>
  <si>
    <t>15/38/95</t>
  </si>
  <si>
    <t>15/35/95</t>
  </si>
  <si>
    <t>3.75VA</t>
  </si>
  <si>
    <t>2.5VA</t>
  </si>
  <si>
    <t>25VA</t>
  </si>
  <si>
    <t>50VA</t>
  </si>
  <si>
    <t>1A</t>
  </si>
  <si>
    <t>5A</t>
  </si>
  <si>
    <t>1,60,000</t>
  </si>
  <si>
    <t>SECURE</t>
  </si>
  <si>
    <t>L&amp;T</t>
  </si>
  <si>
    <t>Dyn-11</t>
  </si>
  <si>
    <t>11kV/433V</t>
  </si>
  <si>
    <t>Replacement of old meter with new meter.</t>
  </si>
  <si>
    <t>Faulty meter replacement.</t>
  </si>
  <si>
    <t>Attending complaint / fault occurred.</t>
  </si>
  <si>
    <t>Reduction in load.</t>
  </si>
  <si>
    <t>Additional load.</t>
  </si>
  <si>
    <t>Periodical calibration.</t>
  </si>
  <si>
    <t>Pre-Commissioning Test</t>
  </si>
  <si>
    <t>S8</t>
  </si>
  <si>
    <t>S10</t>
  </si>
  <si>
    <t>S11</t>
  </si>
  <si>
    <t>S12</t>
  </si>
  <si>
    <t>periodical calibration.</t>
  </si>
  <si>
    <r>
      <t xml:space="preserve">       PC test conducted, by testing CT’s and PT’s for ratio &amp; Polarities, result found satisfactory. The Metering Cubical may be commissioned, duly observing BESCOM and KERC norms &amp; formalities. 
</t>
    </r>
    <r>
      <rPr>
        <b/>
        <u/>
        <sz val="10"/>
        <color theme="1"/>
        <rFont val="Times New Roman"/>
        <family val="1"/>
      </rPr>
      <t/>
    </r>
  </si>
  <si>
    <t>Conducting De-Commissioning and Pre-Commissioning Test for cubical replacement (i.e, 2 CTPT to 3 CTPT).</t>
  </si>
  <si>
    <t>Conducting De-Commissioning and Pre-Commissioning Test for cubical Shifting.</t>
  </si>
  <si>
    <t>Conducting De-Commissioning and Pre-Commissioning Test for cubical shifting and cubical replacement (i.e, 2 CTPT to 3 CTPT).</t>
  </si>
  <si>
    <t>Conducting De-Commissioning and Pre-Commissioning Test for cubical shifting and cubical replacement with additional load (i.e, 2 CTPT to 3 CTPT).</t>
  </si>
  <si>
    <t>Conducting De-Commissioning and Pre-Commissioning Test for cubical replacement with additional load (i.e, 2 CTPT to 3 CTPT).</t>
  </si>
  <si>
    <t>Conducting De-Commissioning and Pre-Commissioning Test for cubical shifting and cubical replacement with reduction in load (i.e, 2 CTPT to 3 CTPT).</t>
  </si>
  <si>
    <t>Conducting De-Commissioning and Pre-Commissioning Test for cubical replacement with reduction in load (i.e, 2 CTPT to 3 CTPT).</t>
  </si>
  <si>
    <t>Conducting De-Commissioning and Pre-Commissioning Test for cubical Shifting with reduction in load.</t>
  </si>
  <si>
    <t>Conducting De-Commissioning and Pre-Commissioning Test for cubical Shifting with additional load.</t>
  </si>
  <si>
    <t xml:space="preserve">Conducting De-Commissioning and Pre-Commissioning Test for renewal of existing temporary power supply.  </t>
  </si>
  <si>
    <t>AMIT</t>
  </si>
  <si>
    <t>0516/01</t>
  </si>
  <si>
    <t>2016/</t>
  </si>
  <si>
    <t>C / B kWh TOD Zone-1</t>
  </si>
  <si>
    <t>C / B kWh TOD Zone-2</t>
  </si>
  <si>
    <t>C kWh TOD Zone-1</t>
  </si>
  <si>
    <t>C kWh TOD Zone-2</t>
  </si>
  <si>
    <r>
      <rPr>
        <b/>
        <u/>
        <sz val="10"/>
        <color rgb="FFFF0000"/>
        <rFont val="Times New Roman"/>
        <family val="1"/>
      </rPr>
      <t>Note</t>
    </r>
    <r>
      <rPr>
        <b/>
        <sz val="10"/>
        <color rgb="FFFF0000"/>
        <rFont val="Times New Roman"/>
        <family val="1"/>
      </rPr>
      <t>:</t>
    </r>
    <r>
      <rPr>
        <sz val="10"/>
        <color rgb="FFFF0000"/>
        <rFont val="Times New Roman"/>
        <family val="1"/>
      </rPr>
      <t xml:space="preserve"> As per the corporate order, you are requested to ensure that; </t>
    </r>
    <r>
      <rPr>
        <b/>
        <sz val="10"/>
        <color rgb="FFFF0000"/>
        <rFont val="Times New Roman"/>
        <family val="1"/>
      </rPr>
      <t>active SIM card</t>
    </r>
    <r>
      <rPr>
        <sz val="10"/>
        <color rgb="FFFF0000"/>
        <rFont val="Times New Roman"/>
        <family val="1"/>
      </rPr>
      <t xml:space="preserve"> has to be inserted in the MODEM from your end before commissioning the above installation. Further, you are requested to intimate this office, regarding </t>
    </r>
    <r>
      <rPr>
        <b/>
        <sz val="10"/>
        <color rgb="FFFF0000"/>
        <rFont val="Times New Roman"/>
        <family val="1"/>
      </rPr>
      <t>RR number assigned and SIM MDN</t>
    </r>
    <r>
      <rPr>
        <sz val="10"/>
        <color rgb="FFFF0000"/>
        <rFont val="Times New Roman"/>
        <family val="1"/>
      </rPr>
      <t xml:space="preserve"> (which is inserted in the MODEM by your end) number for the above installation.</t>
    </r>
  </si>
  <si>
    <t>MT Division, BESCOM</t>
  </si>
  <si>
    <t>Office of the Exec Engineer (Ele.)/</t>
  </si>
  <si>
    <t>Asst Exec Engineer</t>
  </si>
  <si>
    <t>RR No</t>
  </si>
  <si>
    <t>Name</t>
  </si>
  <si>
    <t>Industry Type</t>
  </si>
  <si>
    <t>Address</t>
  </si>
  <si>
    <t>Captive Generator Set</t>
  </si>
  <si>
    <t>Weekly Holiday</t>
  </si>
  <si>
    <t>Tariff</t>
  </si>
  <si>
    <t>Shift</t>
  </si>
  <si>
    <t>With reference to the Letter</t>
  </si>
  <si>
    <t>Above power installation has been rated and Meters has been inspected</t>
  </si>
  <si>
    <t>Last Rating Dated</t>
  </si>
  <si>
    <t>Meter</t>
  </si>
  <si>
    <t>Pulse/KW</t>
  </si>
  <si>
    <t>SL No</t>
  </si>
  <si>
    <t>Model</t>
  </si>
  <si>
    <t>Volts</t>
  </si>
  <si>
    <t>CT Ratio</t>
  </si>
  <si>
    <t>Multiplication Factor</t>
  </si>
  <si>
    <t xml:space="preserve">Final Reading </t>
  </si>
  <si>
    <t>% Error</t>
  </si>
  <si>
    <t>Found</t>
  </si>
  <si>
    <t>Left</t>
  </si>
  <si>
    <t>Seals Found</t>
  </si>
  <si>
    <t>Seals Left</t>
  </si>
  <si>
    <t>Place</t>
  </si>
  <si>
    <t>Seals</t>
  </si>
  <si>
    <t>Main
Cover</t>
  </si>
  <si>
    <t>Lead</t>
  </si>
  <si>
    <t>Plastic</t>
  </si>
  <si>
    <t>Capacitor Details and Status</t>
  </si>
  <si>
    <t>Meter Details</t>
  </si>
  <si>
    <t>1. Time</t>
  </si>
  <si>
    <t>2. Reading</t>
  </si>
  <si>
    <t>3. P.f</t>
  </si>
  <si>
    <t>4. Demand</t>
  </si>
  <si>
    <t>5. Bill Reading</t>
  </si>
  <si>
    <t>6. Reset Count</t>
  </si>
  <si>
    <t>7. Other</t>
  </si>
  <si>
    <t>2. Potential</t>
  </si>
  <si>
    <t>C.T Details</t>
  </si>
  <si>
    <t>1. Make</t>
  </si>
  <si>
    <t>2. Capacity</t>
  </si>
  <si>
    <t>3. Class and VA</t>
  </si>
  <si>
    <t>CT Numbers</t>
  </si>
  <si>
    <t>___________________</t>
  </si>
  <si>
    <t>____________________</t>
  </si>
  <si>
    <t>________________________</t>
  </si>
  <si>
    <t>_________________________________</t>
  </si>
  <si>
    <t>_______________________________</t>
  </si>
  <si>
    <t>__________________________________</t>
  </si>
  <si>
    <t>____________________________________</t>
  </si>
  <si>
    <t>Date: _________________</t>
  </si>
  <si>
    <t>______________________________________</t>
  </si>
  <si>
    <t>Rating Reason/Periodical/Complaints</t>
  </si>
  <si>
    <t>________________________________________________________________________</t>
  </si>
  <si>
    <t>________________________________________________________</t>
  </si>
  <si>
    <t>Terminal
Cover</t>
  </si>
  <si>
    <t>CT
Cover</t>
  </si>
  <si>
    <t>Meter Chamber</t>
  </si>
  <si>
    <t>Bus Bar Chamber</t>
  </si>
  <si>
    <t>Change over Switch</t>
  </si>
  <si>
    <t>Rating Details</t>
  </si>
  <si>
    <t>1. Volts</t>
  </si>
  <si>
    <t>2. Full Load Amps</t>
  </si>
  <si>
    <t>3. Indicated Watts</t>
  </si>
  <si>
    <t>4. P.f</t>
  </si>
  <si>
    <t>5. Rated HP</t>
  </si>
  <si>
    <t>6. N.H.P</t>
  </si>
  <si>
    <t>7. Sanctioned H.P</t>
  </si>
  <si>
    <t>8. Meter Box Details</t>
  </si>
  <si>
    <t>Tamper Details</t>
  </si>
  <si>
    <t>1. Tamper</t>
  </si>
  <si>
    <t>4. C.T</t>
  </si>
  <si>
    <t>3. P.T</t>
  </si>
  <si>
    <t>5. Time &amp; Date</t>
  </si>
  <si>
    <t>6. Tamper No</t>
  </si>
  <si>
    <t>Old Meter</t>
  </si>
  <si>
    <t>New Meter</t>
  </si>
  <si>
    <t>Full Load/Average Load</t>
  </si>
  <si>
    <t>1. Calculated Revised No ( C )</t>
  </si>
  <si>
    <t>2. Revised KW (R )</t>
  </si>
  <si>
    <t>3. C T Ratio ( K)</t>
  </si>
  <si>
    <t>4. Accu Check parameter</t>
  </si>
  <si>
    <t>Found (A )</t>
  </si>
  <si>
    <t>%Error ((((C/R)*K)-A)/A)*100</t>
  </si>
  <si>
    <t>Above Lead/Plastic/Paper Seals is in my custody after calibration</t>
  </si>
  <si>
    <t>Consumer/Representative Signature &amp; Date</t>
  </si>
  <si>
    <t>Sub Division</t>
  </si>
  <si>
    <t>_________________</t>
  </si>
  <si>
    <t>Exec Engineer (Ele.)/ Asst Exec Engineer</t>
  </si>
  <si>
    <t>MT Division/Sub Division, BESCOM</t>
  </si>
  <si>
    <t>Office No:</t>
  </si>
  <si>
    <t>Exec Engineer (Ele.)</t>
  </si>
  <si>
    <t>______________________________</t>
  </si>
  <si>
    <t>__________________________________________________________________________</t>
  </si>
  <si>
    <t>_____________________________________________</t>
  </si>
  <si>
    <t>___________________________</t>
  </si>
  <si>
    <t>_________________________</t>
  </si>
  <si>
    <t>1. Current</t>
  </si>
  <si>
    <t>Respected Sir,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</si>
</sst>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14009]dd/mm/yyyy;@"/>
    <numFmt numFmtId="165" formatCode="0.000"/>
    <numFmt numFmtId="166" formatCode="0.0000"/>
    <numFmt numFmtId="167" formatCode="0.0000%"/>
    <numFmt numFmtId="168" formatCode="[$-14009]dd\-mm\-yyyy;@"/>
    <numFmt numFmtId="169" formatCode="[$₹-4009]\ #,##0.00"/>
  </numFmts>
  <fonts count="54" x14ac:knownFonts="1">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
      <b/>
      <sz val="14"/>
      <color theme="1"/>
      <name val="Times New Roman"/>
      <family val="1"/>
    </font>
    <font>
      <sz val="10"/>
      <color theme="1"/>
      <name val="Times New Roman"/>
      <family val="1"/>
    </font>
    <font>
      <sz val="9"/>
      <color theme="1"/>
      <name val="Times New Roman"/>
      <family val="1"/>
    </font>
    <font>
      <sz val="8"/>
      <color theme="1"/>
      <name val="Times New Roman"/>
      <family val="1"/>
    </font>
    <font>
      <b/>
      <u/>
      <sz val="11"/>
      <color theme="1"/>
      <name val="Times New Roman"/>
      <family val="1"/>
    </font>
    <font>
      <b/>
      <sz val="10"/>
      <color theme="1"/>
      <name val="Times New Roman"/>
      <family val="1"/>
    </font>
    <font>
      <b/>
      <sz val="10"/>
      <name val="Times New Roman"/>
      <family val="1"/>
    </font>
    <font>
      <b/>
      <sz val="14"/>
      <name val="Times New Roman"/>
      <family val="1"/>
    </font>
    <font>
      <b/>
      <sz val="10"/>
      <color rgb="FFFF0000"/>
      <name val="Times New Roman"/>
      <family val="1"/>
    </font>
    <font>
      <sz val="10"/>
      <color theme="1"/>
      <name val="Calibri"/>
      <family val="2"/>
      <scheme val="minor"/>
    </font>
    <font>
      <sz val="10"/>
      <color rgb="FFFF0000"/>
      <name val="Times New Roman"/>
      <family val="1"/>
    </font>
    <font>
      <b/>
      <sz val="12"/>
      <color rgb="FFFF0000"/>
      <name val="NSimSun"/>
      <family val="3"/>
    </font>
    <font>
      <sz val="9"/>
      <color theme="1"/>
      <name val="Calibri"/>
      <family val="2"/>
      <scheme val="minor"/>
    </font>
    <font>
      <sz val="8"/>
      <color theme="1"/>
      <name val="Calibri"/>
      <family val="2"/>
      <scheme val="minor"/>
    </font>
    <font>
      <sz val="8"/>
      <color theme="1"/>
      <name val="Calibri"/>
      <family val="2"/>
    </font>
    <font>
      <b/>
      <sz val="8"/>
      <color theme="1"/>
      <name val="Calibri"/>
      <family val="2"/>
      <scheme val="minor"/>
    </font>
    <font>
      <sz val="5"/>
      <color theme="1"/>
      <name val="Calibri"/>
      <family val="2"/>
      <scheme val="minor"/>
    </font>
    <font>
      <sz val="6"/>
      <color theme="1"/>
      <name val="Calibri"/>
      <family val="2"/>
      <scheme val="minor"/>
    </font>
    <font>
      <sz val="7"/>
      <color theme="1"/>
      <name val="Calibri"/>
      <family val="2"/>
      <scheme val="minor"/>
    </font>
    <font>
      <b/>
      <sz val="5"/>
      <color theme="1"/>
      <name val="Calibri"/>
      <family val="2"/>
      <scheme val="minor"/>
    </font>
    <font>
      <sz val="10"/>
      <name val="Times New Roman"/>
      <family val="1"/>
    </font>
    <font>
      <sz val="11"/>
      <name val="Times New Roman"/>
      <family val="1"/>
    </font>
    <font>
      <b/>
      <sz val="10"/>
      <color theme="1"/>
      <name val="Calibri"/>
      <family val="2"/>
      <scheme val="minor"/>
    </font>
    <font>
      <b/>
      <sz val="9"/>
      <name val="Times New Roman"/>
      <family val="1"/>
    </font>
    <font>
      <sz val="9"/>
      <name val="Times New Roman"/>
      <family val="1"/>
    </font>
    <font>
      <b/>
      <sz val="11"/>
      <name val="Times New Roman"/>
      <family val="1"/>
    </font>
    <font>
      <b/>
      <sz val="12"/>
      <name val="Times New Roman"/>
      <family val="1"/>
    </font>
    <font>
      <b/>
      <u/>
      <sz val="11"/>
      <name val="Times New Roman"/>
      <family val="1"/>
    </font>
    <font>
      <sz val="12"/>
      <name val="Times New Roman"/>
      <family val="1"/>
    </font>
    <font>
      <sz val="5.5"/>
      <color theme="1"/>
      <name val="Calibri"/>
      <family val="2"/>
      <scheme val="minor"/>
    </font>
    <font>
      <b/>
      <sz val="10"/>
      <name val="Calibri"/>
      <family val="2"/>
      <scheme val="minor"/>
    </font>
    <font>
      <sz val="10"/>
      <name val="Calibri"/>
      <family val="2"/>
      <scheme val="minor"/>
    </font>
    <font>
      <sz val="11"/>
      <name val="Calibri"/>
      <family val="2"/>
      <scheme val="minor"/>
    </font>
    <font>
      <sz val="14"/>
      <name val="Times New Roman"/>
      <family val="1"/>
    </font>
    <font>
      <sz val="9"/>
      <name val="Calibri"/>
      <family val="2"/>
      <scheme val="minor"/>
    </font>
    <font>
      <sz val="8"/>
      <name val="Calibri"/>
      <family val="2"/>
      <scheme val="minor"/>
    </font>
    <font>
      <u/>
      <sz val="10"/>
      <color theme="1"/>
      <name val="Calibri"/>
      <family val="2"/>
      <scheme val="minor"/>
    </font>
    <font>
      <b/>
      <sz val="9"/>
      <name val="Calibri"/>
      <family val="2"/>
      <scheme val="minor"/>
    </font>
    <font>
      <b/>
      <sz val="9"/>
      <color theme="1"/>
      <name val="Calibri"/>
      <family val="2"/>
      <scheme val="minor"/>
    </font>
    <font>
      <sz val="10"/>
      <color theme="0"/>
      <name val="Times New Roman"/>
      <family val="1"/>
    </font>
    <font>
      <sz val="8"/>
      <color theme="0"/>
      <name val="Times New Roman"/>
      <family val="1"/>
    </font>
    <font>
      <sz val="11"/>
      <color theme="1"/>
      <name val="Calibri"/>
      <family val="2"/>
      <scheme val="minor"/>
    </font>
    <font>
      <sz val="9"/>
      <color rgb="FFFF0000"/>
      <name val="Times New Roman"/>
      <family val="1"/>
    </font>
    <font>
      <b/>
      <sz val="6"/>
      <color theme="1"/>
      <name val="Calibri"/>
      <family val="2"/>
      <scheme val="minor"/>
    </font>
    <font>
      <b/>
      <sz val="17"/>
      <color theme="4"/>
      <name val="Bookman Old Style"/>
      <family val="1"/>
    </font>
    <font>
      <b/>
      <u/>
      <sz val="10"/>
      <color theme="1"/>
      <name val="Times New Roman"/>
      <family val="1"/>
    </font>
    <font>
      <b/>
      <sz val="11"/>
      <color rgb="FFFF0000"/>
      <name val="Times New Roman"/>
      <family val="1"/>
    </font>
    <font>
      <b/>
      <sz val="14"/>
      <color rgb="FFFF0000"/>
      <name val="Times New Roman"/>
      <family val="1"/>
    </font>
    <font>
      <b/>
      <u/>
      <sz val="10"/>
      <color rgb="FFFF0000"/>
      <name val="Times New Roman"/>
      <family val="1"/>
    </font>
    <font>
      <b/>
      <sz val="14"/>
      <color theme="4"/>
      <name val="Bookman Old Style"/>
      <family val="1"/>
    </font>
  </fonts>
  <fills count="2">
    <fill>
      <patternFill patternType="none"/>
    </fill>
    <fill>
      <patternFill patternType="gray125"/>
    </fill>
  </fills>
  <borders count="23">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right/>
      <top style="medium">
        <color theme="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right/>
      <top style="thin">
        <color rgb="FFFF0000"/>
      </top>
      <bottom/>
      <diagonal/>
    </border>
    <border>
      <left style="thin">
        <color rgb="FFFF0000"/>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top/>
      <bottom style="thin">
        <color rgb="FFFF0000"/>
      </bottom>
      <diagonal/>
    </border>
    <border>
      <left/>
      <right style="thin">
        <color rgb="FFFF0000"/>
      </right>
      <top/>
      <bottom style="thin">
        <color rgb="FFFF0000"/>
      </bottom>
      <diagonal/>
    </border>
    <border>
      <left style="thin">
        <color auto="1"/>
      </left>
      <right/>
      <top/>
      <bottom/>
      <diagonal/>
    </border>
  </borders>
  <cellStyleXfs count="2">
    <xf numFmtId="0" fontId="0" fillId="0" borderId="0"/>
    <xf numFmtId="9" fontId="45" fillId="0" borderId="0" applyFont="0" applyFill="0" applyBorder="0" applyAlignment="0" applyProtection="0"/>
  </cellStyleXfs>
  <cellXfs count="295">
    <xf numFmtId="0" fontId="0" fillId="0" borderId="0" xfId="0"/>
    <xf numFmtId="0" fontId="0" fillId="0" borderId="0" xfId="0" applyAlignment="1">
      <alignment vertical="center"/>
    </xf>
    <xf numFmtId="0" fontId="2" fillId="0" borderId="0" xfId="0" applyFont="1" applyAlignment="1">
      <alignment vertical="center"/>
    </xf>
    <xf numFmtId="0" fontId="7" fillId="0" borderId="0" xfId="0" applyFont="1" applyAlignment="1">
      <alignment vertical="center"/>
    </xf>
    <xf numFmtId="0" fontId="2" fillId="0" borderId="2" xfId="0" applyFont="1" applyBorder="1" applyAlignment="1">
      <alignment vertical="center"/>
    </xf>
    <xf numFmtId="0" fontId="2" fillId="0" borderId="0" xfId="0" applyFont="1" applyAlignment="1">
      <alignment horizontal="center" vertical="center"/>
    </xf>
    <xf numFmtId="0" fontId="7" fillId="0" borderId="0" xfId="0" applyFont="1" applyAlignment="1">
      <alignment horizontal="center" vertical="center"/>
    </xf>
    <xf numFmtId="0" fontId="2" fillId="0" borderId="0" xfId="0" applyFont="1" applyAlignment="1">
      <alignment horizontal="left" vertical="center"/>
    </xf>
    <xf numFmtId="0" fontId="3" fillId="0" borderId="0" xfId="0" applyFont="1" applyAlignment="1">
      <alignment vertical="center"/>
    </xf>
    <xf numFmtId="0" fontId="5" fillId="0" borderId="0" xfId="0" applyFont="1" applyAlignment="1">
      <alignment vertical="center"/>
    </xf>
    <xf numFmtId="0" fontId="9" fillId="0" borderId="0" xfId="0" applyFont="1" applyAlignment="1">
      <alignment vertical="center"/>
    </xf>
    <xf numFmtId="0" fontId="2" fillId="0" borderId="0" xfId="0" applyFont="1" applyAlignment="1">
      <alignment horizontal="justify" vertical="top"/>
    </xf>
    <xf numFmtId="0" fontId="6" fillId="0" borderId="0" xfId="0" applyFont="1" applyAlignment="1">
      <alignment vertical="center"/>
    </xf>
    <xf numFmtId="0" fontId="17"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horizontal="left" vertical="center"/>
    </xf>
    <xf numFmtId="0" fontId="19" fillId="0" borderId="0" xfId="0" applyFont="1" applyAlignment="1">
      <alignment vertical="center"/>
    </xf>
    <xf numFmtId="0" fontId="17" fillId="0" borderId="0" xfId="0" applyFont="1" applyAlignment="1">
      <alignment horizontal="center" vertical="center" textRotation="90"/>
    </xf>
    <xf numFmtId="0" fontId="15" fillId="0" borderId="0" xfId="0" applyFont="1" applyAlignment="1">
      <alignment vertical="center"/>
    </xf>
    <xf numFmtId="0" fontId="1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right" vertical="center"/>
    </xf>
    <xf numFmtId="0" fontId="9" fillId="0" borderId="0" xfId="0" applyFont="1" applyAlignment="1">
      <alignment horizontal="center" vertical="center"/>
    </xf>
    <xf numFmtId="0" fontId="19" fillId="0" borderId="0" xfId="0" applyFont="1" applyAlignment="1">
      <alignment horizontal="center" vertical="center" textRotation="90"/>
    </xf>
    <xf numFmtId="0" fontId="19" fillId="0" borderId="0" xfId="0" applyFont="1" applyAlignment="1">
      <alignment horizontal="center" vertical="center"/>
    </xf>
    <xf numFmtId="0" fontId="12" fillId="0" borderId="0" xfId="0" applyFont="1" applyAlignment="1">
      <alignment horizontal="center" vertical="center"/>
    </xf>
    <xf numFmtId="0" fontId="5" fillId="0" borderId="0" xfId="0" applyFont="1" applyAlignment="1">
      <alignment horizontal="center" vertical="center"/>
    </xf>
    <xf numFmtId="0" fontId="14" fillId="0" borderId="0" xfId="0" applyFont="1" applyAlignment="1">
      <alignment horizontal="center" vertical="center"/>
    </xf>
    <xf numFmtId="0" fontId="9" fillId="0" borderId="0" xfId="0" applyFont="1" applyAlignment="1">
      <alignment horizontal="right" vertical="center"/>
    </xf>
    <xf numFmtId="0" fontId="5" fillId="0" borderId="0" xfId="0" applyFont="1" applyAlignment="1">
      <alignment horizontal="left" vertical="center"/>
    </xf>
    <xf numFmtId="164" fontId="14" fillId="0" borderId="0" xfId="0" applyNumberFormat="1" applyFont="1" applyAlignment="1">
      <alignment horizontal="left" vertical="center"/>
    </xf>
    <xf numFmtId="0" fontId="24" fillId="0" borderId="0" xfId="0" applyFont="1" applyAlignment="1">
      <alignment vertical="center"/>
    </xf>
    <xf numFmtId="0" fontId="25" fillId="0" borderId="0" xfId="0" applyFont="1" applyAlignment="1">
      <alignment vertical="center"/>
    </xf>
    <xf numFmtId="0" fontId="29" fillId="0" borderId="0" xfId="0" applyFont="1" applyAlignment="1">
      <alignment vertical="center"/>
    </xf>
    <xf numFmtId="0" fontId="20" fillId="0" borderId="0" xfId="0" applyFont="1" applyAlignment="1">
      <alignment vertical="center"/>
    </xf>
    <xf numFmtId="0" fontId="29" fillId="0" borderId="0" xfId="0" applyFont="1" applyAlignment="1">
      <alignment horizontal="left" vertical="center"/>
    </xf>
    <xf numFmtId="0" fontId="10" fillId="0" borderId="0" xfId="0" applyFont="1" applyAlignment="1">
      <alignment horizontal="left" vertical="center"/>
    </xf>
    <xf numFmtId="0" fontId="10" fillId="0" borderId="0" xfId="0" applyFont="1" applyAlignment="1">
      <alignment vertical="center"/>
    </xf>
    <xf numFmtId="0" fontId="10" fillId="0" borderId="0" xfId="0" applyFont="1" applyAlignment="1">
      <alignment horizontal="center" vertical="center"/>
    </xf>
    <xf numFmtId="0" fontId="11" fillId="0" borderId="0" xfId="0" applyFont="1" applyAlignment="1">
      <alignment horizontal="center" vertical="center"/>
    </xf>
    <xf numFmtId="0" fontId="37" fillId="0" borderId="0" xfId="0" applyFont="1" applyAlignment="1">
      <alignment horizontal="left" vertical="center"/>
    </xf>
    <xf numFmtId="0" fontId="0" fillId="0" borderId="0" xfId="0" applyAlignment="1">
      <alignment horizontal="left" vertical="center"/>
    </xf>
    <xf numFmtId="0" fontId="3" fillId="0" borderId="0" xfId="0" applyFont="1" applyAlignment="1">
      <alignment horizontal="left" vertical="center"/>
    </xf>
    <xf numFmtId="0" fontId="27" fillId="0" borderId="0" xfId="0" applyFont="1" applyAlignment="1">
      <alignment horizontal="center" vertical="center"/>
    </xf>
    <xf numFmtId="0" fontId="34" fillId="0" borderId="0" xfId="0" applyFont="1" applyAlignment="1">
      <alignment vertical="center"/>
    </xf>
    <xf numFmtId="0" fontId="35" fillId="0" borderId="0" xfId="0" applyFont="1" applyAlignment="1">
      <alignment vertical="center"/>
    </xf>
    <xf numFmtId="0" fontId="3" fillId="0" borderId="11" xfId="0" applyFont="1" applyBorder="1" applyAlignment="1">
      <alignment horizontal="left" vertical="center"/>
    </xf>
    <xf numFmtId="0" fontId="19" fillId="0" borderId="0" xfId="0" applyFont="1" applyAlignment="1">
      <alignment horizontal="left" vertical="center"/>
    </xf>
    <xf numFmtId="0" fontId="1" fillId="0" borderId="0" xfId="0" applyFont="1" applyAlignment="1">
      <alignment horizontal="left" vertical="center"/>
    </xf>
    <xf numFmtId="0" fontId="13" fillId="0" borderId="0" xfId="0" applyFont="1" applyAlignment="1">
      <alignment horizontal="left" vertical="center"/>
    </xf>
    <xf numFmtId="0" fontId="0" fillId="0" borderId="0" xfId="0" applyAlignment="1">
      <alignment horizontal="left"/>
    </xf>
    <xf numFmtId="3" fontId="0" fillId="0" borderId="0" xfId="0" applyNumberFormat="1" applyAlignment="1">
      <alignment horizontal="left"/>
    </xf>
    <xf numFmtId="0" fontId="8" fillId="0" borderId="0" xfId="0" applyFont="1" applyAlignment="1">
      <alignment vertical="center"/>
    </xf>
    <xf numFmtId="0" fontId="5" fillId="0" borderId="0" xfId="0" applyFont="1" applyAlignment="1">
      <alignment horizontal="justify" vertical="top" wrapText="1"/>
    </xf>
    <xf numFmtId="49" fontId="15" fillId="0" borderId="0" xfId="0" applyNumberFormat="1" applyFont="1" applyAlignment="1">
      <alignment vertical="center"/>
    </xf>
    <xf numFmtId="0" fontId="48" fillId="0" borderId="0" xfId="0" applyFont="1" applyAlignment="1">
      <alignment vertical="center"/>
    </xf>
    <xf numFmtId="0" fontId="53" fillId="0" borderId="0" xfId="0" applyFont="1" applyAlignment="1">
      <alignment vertical="center"/>
    </xf>
    <xf numFmtId="0" fontId="0" fillId="0" borderId="1" xfId="0" applyBorder="1"/>
    <xf numFmtId="0" fontId="0" fillId="0" borderId="22" xfId="0" applyBorder="1"/>
    <xf numFmtId="0" fontId="0" fillId="0" borderId="13" xfId="0" applyBorder="1"/>
    <xf numFmtId="0" fontId="0" fillId="0" borderId="10" xfId="0" applyBorder="1"/>
    <xf numFmtId="0" fontId="0" fillId="0" borderId="11" xfId="0" applyBorder="1"/>
    <xf numFmtId="0" fontId="0" fillId="0" borderId="12" xfId="0" applyBorder="1"/>
    <xf numFmtId="0" fontId="14" fillId="0" borderId="0" xfId="0" applyFont="1" applyAlignment="1">
      <alignment horizontal="justify" vertical="top" wrapText="1"/>
    </xf>
    <xf numFmtId="0" fontId="25" fillId="0" borderId="0" xfId="0" applyFont="1" applyAlignment="1">
      <alignment horizontal="left" vertical="center"/>
    </xf>
    <xf numFmtId="0" fontId="10" fillId="0" borderId="0" xfId="0" applyFont="1" applyAlignment="1">
      <alignment horizontal="center" vertical="center"/>
    </xf>
    <xf numFmtId="0" fontId="29" fillId="0" borderId="0" xfId="0" applyFont="1" applyAlignment="1">
      <alignment horizontal="center" vertical="center"/>
    </xf>
    <xf numFmtId="0" fontId="29" fillId="0" borderId="11" xfId="0" applyFont="1" applyBorder="1" applyAlignment="1">
      <alignment horizontal="center" vertical="center"/>
    </xf>
    <xf numFmtId="0" fontId="2" fillId="0" borderId="0" xfId="0" applyFont="1" applyAlignment="1">
      <alignment horizontal="center" vertical="center"/>
    </xf>
    <xf numFmtId="0" fontId="34" fillId="0" borderId="1" xfId="0" applyFont="1" applyBorder="1" applyAlignment="1">
      <alignment horizontal="left" vertical="center" wrapText="1"/>
    </xf>
    <xf numFmtId="0" fontId="0" fillId="0" borderId="1" xfId="0" applyBorder="1" applyAlignment="1">
      <alignment horizontal="left" vertical="center" wrapText="1"/>
    </xf>
    <xf numFmtId="0" fontId="35" fillId="0" borderId="1" xfId="0" applyFont="1" applyBorder="1" applyAlignment="1">
      <alignment horizontal="justify" vertical="center"/>
    </xf>
    <xf numFmtId="0" fontId="35" fillId="0" borderId="1" xfId="0" applyFont="1" applyBorder="1" applyAlignment="1">
      <alignment horizontal="left" vertical="center"/>
    </xf>
    <xf numFmtId="0" fontId="0" fillId="0" borderId="1" xfId="0" applyBorder="1" applyAlignment="1">
      <alignment horizontal="left" vertical="center"/>
    </xf>
    <xf numFmtId="0" fontId="3" fillId="0" borderId="0" xfId="0" applyFont="1" applyAlignment="1">
      <alignment horizontal="center" vertical="center"/>
    </xf>
    <xf numFmtId="168" fontId="30" fillId="0" borderId="0" xfId="0" applyNumberFormat="1" applyFont="1" applyAlignment="1">
      <alignment horizontal="left" vertical="center"/>
    </xf>
    <xf numFmtId="0" fontId="2" fillId="0" borderId="0" xfId="0" applyFont="1" applyAlignment="1">
      <alignment horizontal="justify" vertical="center"/>
    </xf>
    <xf numFmtId="0" fontId="3" fillId="0" borderId="0" xfId="0" applyFont="1" applyAlignment="1">
      <alignment horizontal="left" vertical="center"/>
    </xf>
    <xf numFmtId="0" fontId="2" fillId="0" borderId="0" xfId="0" applyFont="1" applyAlignment="1">
      <alignment horizontal="left" vertical="center"/>
    </xf>
    <xf numFmtId="0" fontId="48" fillId="0" borderId="0" xfId="0" applyFont="1" applyAlignment="1">
      <alignment horizontal="center" vertical="center"/>
    </xf>
    <xf numFmtId="0" fontId="7" fillId="0" borderId="0" xfId="0" applyFont="1" applyAlignment="1">
      <alignment horizontal="center" vertical="center"/>
    </xf>
    <xf numFmtId="0" fontId="30" fillId="0" borderId="3" xfId="0" applyFont="1" applyBorder="1" applyAlignment="1">
      <alignment horizontal="right" vertical="center"/>
    </xf>
    <xf numFmtId="168" fontId="32" fillId="0" borderId="3" xfId="0" applyNumberFormat="1" applyFont="1" applyBorder="1" applyAlignment="1">
      <alignment horizontal="left" vertical="center"/>
    </xf>
    <xf numFmtId="0" fontId="51" fillId="0" borderId="15" xfId="0" applyFont="1" applyBorder="1" applyAlignment="1">
      <alignment horizontal="center" vertical="center"/>
    </xf>
    <xf numFmtId="0" fontId="51" fillId="0" borderId="14" xfId="0" applyFont="1" applyBorder="1" applyAlignment="1">
      <alignment horizontal="center" vertical="center"/>
    </xf>
    <xf numFmtId="0" fontId="51" fillId="0" borderId="16" xfId="0" applyFont="1" applyBorder="1" applyAlignment="1">
      <alignment horizontal="center" vertical="center"/>
    </xf>
    <xf numFmtId="0" fontId="51" fillId="0" borderId="17" xfId="0" applyFont="1" applyBorder="1" applyAlignment="1">
      <alignment horizontal="center" vertical="center"/>
    </xf>
    <xf numFmtId="0" fontId="51" fillId="0" borderId="0" xfId="0" applyFont="1" applyAlignment="1">
      <alignment horizontal="center" vertical="center"/>
    </xf>
    <xf numFmtId="0" fontId="51" fillId="0" borderId="18" xfId="0" applyFont="1" applyBorder="1" applyAlignment="1">
      <alignment horizontal="center" vertical="center"/>
    </xf>
    <xf numFmtId="0" fontId="51" fillId="0" borderId="19" xfId="0" applyFont="1" applyBorder="1" applyAlignment="1">
      <alignment horizontal="center" vertical="center"/>
    </xf>
    <xf numFmtId="0" fontId="51" fillId="0" borderId="20" xfId="0" applyFont="1" applyBorder="1" applyAlignment="1">
      <alignment horizontal="center" vertical="center"/>
    </xf>
    <xf numFmtId="0" fontId="51" fillId="0" borderId="21" xfId="0" applyFont="1" applyBorder="1" applyAlignment="1">
      <alignment horizontal="center" vertical="center"/>
    </xf>
    <xf numFmtId="0" fontId="15" fillId="0" borderId="0" xfId="0" applyFont="1" applyAlignment="1">
      <alignment horizontal="left" vertical="center"/>
    </xf>
    <xf numFmtId="49" fontId="15" fillId="0" borderId="0" xfId="0" applyNumberFormat="1" applyFont="1" applyAlignment="1">
      <alignment horizontal="left" vertical="center"/>
    </xf>
    <xf numFmtId="0" fontId="1" fillId="0" borderId="1" xfId="0" applyFont="1" applyBorder="1" applyAlignment="1">
      <alignment horizontal="left" vertical="center"/>
    </xf>
    <xf numFmtId="0" fontId="34" fillId="0" borderId="1" xfId="0" applyFont="1" applyBorder="1" applyAlignment="1">
      <alignment horizontal="left" vertical="center"/>
    </xf>
    <xf numFmtId="0" fontId="13" fillId="0" borderId="1" xfId="0" applyFont="1" applyBorder="1" applyAlignment="1">
      <alignment horizontal="left" vertical="center"/>
    </xf>
    <xf numFmtId="0" fontId="36" fillId="0" borderId="1" xfId="0" quotePrefix="1" applyFont="1" applyBorder="1" applyAlignment="1">
      <alignment horizontal="left" vertical="center"/>
    </xf>
    <xf numFmtId="0" fontId="34" fillId="0" borderId="4" xfId="0" applyFont="1" applyBorder="1" applyAlignment="1">
      <alignment horizontal="left" vertical="center"/>
    </xf>
    <xf numFmtId="0" fontId="34" fillId="0" borderId="5" xfId="0" applyFont="1" applyBorder="1" applyAlignment="1">
      <alignment horizontal="left" vertical="center"/>
    </xf>
    <xf numFmtId="0" fontId="34" fillId="0" borderId="6" xfId="0" applyFont="1" applyBorder="1" applyAlignment="1">
      <alignment horizontal="left" vertical="center"/>
    </xf>
    <xf numFmtId="0" fontId="11" fillId="0" borderId="1" xfId="0" applyFont="1" applyBorder="1" applyAlignment="1">
      <alignment horizontal="center" vertical="center"/>
    </xf>
    <xf numFmtId="0" fontId="29" fillId="0" borderId="0" xfId="0" applyFont="1" applyAlignment="1">
      <alignment horizontal="left" vertical="center"/>
    </xf>
    <xf numFmtId="0" fontId="13" fillId="0" borderId="0" xfId="0" applyFont="1" applyAlignment="1">
      <alignment horizontal="left" vertical="center"/>
    </xf>
    <xf numFmtId="49" fontId="3" fillId="0" borderId="0" xfId="0" applyNumberFormat="1" applyFont="1" applyAlignment="1">
      <alignment horizontal="center" vertical="center"/>
    </xf>
    <xf numFmtId="0" fontId="13" fillId="0" borderId="11" xfId="0" applyFont="1" applyBorder="1" applyAlignment="1">
      <alignment horizontal="left" vertical="center"/>
    </xf>
    <xf numFmtId="0" fontId="38" fillId="0" borderId="1" xfId="0" applyFont="1" applyBorder="1" applyAlignment="1">
      <alignment horizontal="left" vertical="center"/>
    </xf>
    <xf numFmtId="0" fontId="35" fillId="0" borderId="4" xfId="0" applyFont="1" applyBorder="1" applyAlignment="1">
      <alignment horizontal="left" vertical="center"/>
    </xf>
    <xf numFmtId="0" fontId="35" fillId="0" borderId="5" xfId="0" applyFont="1" applyBorder="1" applyAlignment="1">
      <alignment horizontal="left" vertical="center"/>
    </xf>
    <xf numFmtId="0" fontId="35" fillId="0" borderId="6" xfId="0" applyFont="1" applyBorder="1" applyAlignment="1">
      <alignment horizontal="left" vertical="center"/>
    </xf>
    <xf numFmtId="0" fontId="34" fillId="0" borderId="1" xfId="0" applyFont="1" applyBorder="1" applyAlignment="1">
      <alignment horizontal="center" vertical="center"/>
    </xf>
    <xf numFmtId="0" fontId="0" fillId="0" borderId="1" xfId="0" applyBorder="1" applyAlignment="1">
      <alignment horizontal="center" vertical="center"/>
    </xf>
    <xf numFmtId="0" fontId="26" fillId="0" borderId="1" xfId="0" applyFont="1" applyBorder="1" applyAlignment="1">
      <alignment horizontal="center" vertical="center"/>
    </xf>
    <xf numFmtId="49" fontId="35" fillId="0" borderId="1" xfId="0" applyNumberFormat="1" applyFont="1" applyBorder="1" applyAlignment="1">
      <alignment horizontal="left" vertical="center"/>
    </xf>
    <xf numFmtId="49" fontId="35" fillId="0" borderId="4" xfId="0" applyNumberFormat="1" applyFont="1" applyBorder="1" applyAlignment="1">
      <alignment horizontal="left" vertical="center"/>
    </xf>
    <xf numFmtId="49" fontId="35" fillId="0" borderId="5" xfId="0" applyNumberFormat="1" applyFont="1" applyBorder="1" applyAlignment="1">
      <alignment horizontal="left" vertical="center"/>
    </xf>
    <xf numFmtId="49" fontId="35" fillId="0" borderId="6" xfId="0" applyNumberFormat="1" applyFont="1" applyBorder="1" applyAlignment="1">
      <alignment horizontal="left" vertical="center"/>
    </xf>
    <xf numFmtId="0" fontId="5" fillId="0" borderId="1" xfId="0" applyFont="1" applyBorder="1" applyAlignment="1">
      <alignment horizontal="left" vertical="center"/>
    </xf>
    <xf numFmtId="0" fontId="14" fillId="0" borderId="4" xfId="0" applyFont="1" applyBorder="1" applyAlignment="1">
      <alignment horizontal="left" vertical="center"/>
    </xf>
    <xf numFmtId="0" fontId="14" fillId="0" borderId="5" xfId="0" applyFont="1" applyBorder="1" applyAlignment="1">
      <alignment horizontal="left" vertical="center"/>
    </xf>
    <xf numFmtId="0" fontId="14" fillId="0" borderId="6" xfId="0" applyFont="1" applyBorder="1" applyAlignment="1">
      <alignment horizontal="left" vertical="center"/>
    </xf>
    <xf numFmtId="0" fontId="34" fillId="0" borderId="1" xfId="0" applyFont="1" applyBorder="1" applyAlignment="1">
      <alignment horizontal="center" vertical="center" textRotation="90"/>
    </xf>
    <xf numFmtId="0" fontId="42" fillId="0" borderId="1" xfId="0" applyFont="1" applyBorder="1" applyAlignment="1">
      <alignment horizontal="center" vertical="center"/>
    </xf>
    <xf numFmtId="0" fontId="10" fillId="0" borderId="0" xfId="0" applyFont="1" applyAlignment="1">
      <alignment horizontal="left" vertical="center"/>
    </xf>
    <xf numFmtId="0" fontId="35" fillId="0" borderId="0" xfId="0" applyFont="1" applyAlignment="1">
      <alignment horizontal="left" vertical="center"/>
    </xf>
    <xf numFmtId="0" fontId="17" fillId="0" borderId="0" xfId="0" applyFont="1" applyAlignment="1">
      <alignment horizontal="right" vertical="center"/>
    </xf>
    <xf numFmtId="0" fontId="41" fillId="0" borderId="1" xfId="0" applyFont="1" applyBorder="1" applyAlignment="1">
      <alignment horizontal="left" vertical="center"/>
    </xf>
    <xf numFmtId="0" fontId="16" fillId="0" borderId="1" xfId="0" applyFont="1" applyBorder="1" applyAlignment="1">
      <alignment horizontal="left" vertical="center"/>
    </xf>
    <xf numFmtId="0" fontId="41" fillId="0" borderId="1" xfId="0" applyFont="1" applyBorder="1" applyAlignment="1">
      <alignment horizontal="center" vertical="center"/>
    </xf>
    <xf numFmtId="0" fontId="41" fillId="0" borderId="4" xfId="0" applyFont="1" applyBorder="1" applyAlignment="1">
      <alignment horizontal="center" vertical="center"/>
    </xf>
    <xf numFmtId="0" fontId="41" fillId="0" borderId="5" xfId="0" applyFont="1" applyBorder="1" applyAlignment="1">
      <alignment horizontal="center" vertical="center"/>
    </xf>
    <xf numFmtId="0" fontId="41" fillId="0" borderId="6" xfId="0" applyFont="1" applyBorder="1" applyAlignment="1">
      <alignment horizontal="center" vertical="center"/>
    </xf>
    <xf numFmtId="0" fontId="41" fillId="0" borderId="4" xfId="0" applyFont="1" applyBorder="1" applyAlignment="1">
      <alignment horizontal="left" vertical="center"/>
    </xf>
    <xf numFmtId="0" fontId="41" fillId="0" borderId="5" xfId="0" applyFont="1" applyBorder="1" applyAlignment="1">
      <alignment horizontal="left" vertical="center"/>
    </xf>
    <xf numFmtId="0" fontId="41" fillId="0" borderId="6" xfId="0" applyFont="1" applyBorder="1" applyAlignment="1">
      <alignment horizontal="left" vertical="center"/>
    </xf>
    <xf numFmtId="0" fontId="42" fillId="0" borderId="1" xfId="0" applyFont="1" applyBorder="1" applyAlignment="1">
      <alignment horizontal="left" vertical="center"/>
    </xf>
    <xf numFmtId="0" fontId="39" fillId="0" borderId="1" xfId="0" applyFont="1" applyBorder="1" applyAlignment="1">
      <alignment horizontal="left" vertical="center"/>
    </xf>
    <xf numFmtId="0" fontId="19" fillId="0" borderId="1" xfId="0" applyFont="1" applyBorder="1" applyAlignment="1">
      <alignment horizontal="left" vertical="center"/>
    </xf>
    <xf numFmtId="20" fontId="13" fillId="0" borderId="4" xfId="0" applyNumberFormat="1" applyFont="1" applyBorder="1" applyAlignment="1">
      <alignment horizontal="left" vertical="center"/>
    </xf>
    <xf numFmtId="20" fontId="13" fillId="0" borderId="5" xfId="0" applyNumberFormat="1" applyFont="1" applyBorder="1" applyAlignment="1">
      <alignment horizontal="left" vertical="center"/>
    </xf>
    <xf numFmtId="20" fontId="13" fillId="0" borderId="6" xfId="0" applyNumberFormat="1" applyFont="1" applyBorder="1" applyAlignment="1">
      <alignment horizontal="left" vertical="center"/>
    </xf>
    <xf numFmtId="0" fontId="13" fillId="0" borderId="5" xfId="0" applyFont="1" applyBorder="1" applyAlignment="1">
      <alignment horizontal="left" vertical="center"/>
    </xf>
    <xf numFmtId="0" fontId="13" fillId="0" borderId="6" xfId="0" applyFont="1" applyBorder="1" applyAlignment="1">
      <alignment horizontal="left" vertical="center"/>
    </xf>
    <xf numFmtId="168" fontId="13" fillId="0" borderId="4" xfId="0" applyNumberFormat="1" applyFont="1" applyBorder="1" applyAlignment="1">
      <alignment horizontal="left" vertical="center"/>
    </xf>
    <xf numFmtId="168" fontId="13" fillId="0" borderId="5" xfId="0" applyNumberFormat="1" applyFont="1" applyBorder="1" applyAlignment="1">
      <alignment horizontal="left" vertical="center"/>
    </xf>
    <xf numFmtId="168" fontId="13" fillId="0" borderId="6" xfId="0" applyNumberFormat="1" applyFont="1" applyBorder="1" applyAlignment="1">
      <alignment horizontal="left" vertical="center"/>
    </xf>
    <xf numFmtId="0" fontId="42" fillId="0" borderId="8" xfId="0" applyFont="1" applyBorder="1" applyAlignment="1">
      <alignment horizontal="center" vertical="center"/>
    </xf>
    <xf numFmtId="0" fontId="42" fillId="0" borderId="7" xfId="0" applyFont="1" applyBorder="1" applyAlignment="1">
      <alignment horizontal="center" vertical="center"/>
    </xf>
    <xf numFmtId="0" fontId="42" fillId="0" borderId="9" xfId="0" applyFont="1" applyBorder="1" applyAlignment="1">
      <alignment horizontal="center" vertical="center"/>
    </xf>
    <xf numFmtId="0" fontId="42" fillId="0" borderId="10" xfId="0" applyFont="1" applyBorder="1" applyAlignment="1">
      <alignment horizontal="center" vertical="center"/>
    </xf>
    <xf numFmtId="0" fontId="42" fillId="0" borderId="11" xfId="0" applyFont="1" applyBorder="1" applyAlignment="1">
      <alignment horizontal="center" vertical="center"/>
    </xf>
    <xf numFmtId="0" fontId="42" fillId="0" borderId="12" xfId="0" applyFont="1" applyBorder="1" applyAlignment="1">
      <alignment horizontal="center" vertical="center"/>
    </xf>
    <xf numFmtId="2" fontId="42" fillId="0" borderId="4" xfId="0" applyNumberFormat="1" applyFont="1" applyBorder="1" applyAlignment="1">
      <alignment horizontal="center" vertical="center"/>
    </xf>
    <xf numFmtId="2" fontId="42" fillId="0" borderId="5" xfId="0" applyNumberFormat="1" applyFont="1" applyBorder="1" applyAlignment="1">
      <alignment horizontal="center" vertical="center"/>
    </xf>
    <xf numFmtId="2" fontId="42" fillId="0" borderId="6" xfId="0" applyNumberFormat="1" applyFont="1" applyBorder="1" applyAlignment="1">
      <alignment horizontal="center" vertical="center"/>
    </xf>
    <xf numFmtId="166" fontId="13" fillId="0" borderId="4" xfId="0" applyNumberFormat="1" applyFont="1" applyBorder="1" applyAlignment="1">
      <alignment horizontal="left" vertical="center"/>
    </xf>
    <xf numFmtId="166" fontId="13" fillId="0" borderId="5" xfId="0" applyNumberFormat="1" applyFont="1" applyBorder="1" applyAlignment="1">
      <alignment horizontal="left" vertical="center"/>
    </xf>
    <xf numFmtId="166" fontId="13" fillId="0" borderId="6"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5" xfId="0" applyNumberFormat="1" applyFont="1" applyBorder="1" applyAlignment="1">
      <alignment horizontal="left" vertical="center"/>
    </xf>
    <xf numFmtId="2" fontId="13" fillId="0" borderId="4" xfId="0" applyNumberFormat="1" applyFont="1" applyBorder="1" applyAlignment="1">
      <alignment horizontal="left" vertical="center"/>
    </xf>
    <xf numFmtId="2" fontId="13" fillId="0" borderId="5" xfId="0" applyNumberFormat="1" applyFont="1" applyBorder="1" applyAlignment="1">
      <alignment horizontal="left" vertical="center"/>
    </xf>
    <xf numFmtId="169" fontId="2" fillId="0" borderId="0" xfId="0" applyNumberFormat="1" applyFont="1" applyAlignment="1">
      <alignment horizontal="center" vertical="center"/>
    </xf>
    <xf numFmtId="0" fontId="20" fillId="0" borderId="0" xfId="0" applyFont="1" applyAlignment="1">
      <alignment horizontal="center" vertical="center"/>
    </xf>
    <xf numFmtId="0" fontId="24" fillId="0" borderId="0" xfId="0" applyFont="1" applyAlignment="1">
      <alignment horizontal="center" vertical="center"/>
    </xf>
    <xf numFmtId="49" fontId="13" fillId="0" borderId="6" xfId="0" applyNumberFormat="1" applyFont="1" applyBorder="1" applyAlignment="1">
      <alignment horizontal="left" vertical="center"/>
    </xf>
    <xf numFmtId="0" fontId="40" fillId="0" borderId="0" xfId="0" applyFont="1" applyAlignment="1">
      <alignment horizontal="left" vertical="center"/>
    </xf>
    <xf numFmtId="0" fontId="5" fillId="0" borderId="0" xfId="0" applyFont="1" applyAlignment="1">
      <alignment horizontal="justify" vertical="top" wrapText="1"/>
    </xf>
    <xf numFmtId="0" fontId="13" fillId="0" borderId="4" xfId="0" applyFont="1" applyBorder="1" applyAlignment="1">
      <alignment horizontal="left" vertical="center"/>
    </xf>
    <xf numFmtId="0" fontId="19" fillId="0" borderId="0" xfId="0" applyFont="1" applyAlignment="1">
      <alignment horizontal="left" vertical="center"/>
    </xf>
    <xf numFmtId="0" fontId="1" fillId="0" borderId="0" xfId="0" applyFont="1" applyAlignment="1">
      <alignment horizontal="left" vertical="center"/>
    </xf>
    <xf numFmtId="0" fontId="17" fillId="0" borderId="1" xfId="0" applyFont="1" applyBorder="1" applyAlignment="1">
      <alignment horizontal="left" vertical="center"/>
    </xf>
    <xf numFmtId="0" fontId="17" fillId="0" borderId="4" xfId="0" applyFont="1" applyBorder="1" applyAlignment="1">
      <alignment horizontal="left" vertical="center"/>
    </xf>
    <xf numFmtId="0" fontId="17" fillId="0" borderId="5" xfId="0" applyFont="1" applyBorder="1" applyAlignment="1">
      <alignment horizontal="left" vertical="center"/>
    </xf>
    <xf numFmtId="0" fontId="17" fillId="0" borderId="6" xfId="0" applyFont="1"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17" fontId="17" fillId="0" borderId="1" xfId="0" applyNumberFormat="1" applyFont="1" applyBorder="1" applyAlignment="1">
      <alignment horizontal="left" vertical="center"/>
    </xf>
    <xf numFmtId="0" fontId="8" fillId="0" borderId="0" xfId="0" applyFont="1" applyAlignment="1">
      <alignment horizontal="center" vertical="center"/>
    </xf>
    <xf numFmtId="0" fontId="24" fillId="0" borderId="0" xfId="0" applyFont="1" applyAlignment="1">
      <alignment horizontal="left" vertical="center"/>
    </xf>
    <xf numFmtId="0" fontId="10" fillId="0" borderId="0" xfId="0" applyFont="1" applyAlignment="1">
      <alignment horizontal="right" vertical="center"/>
    </xf>
    <xf numFmtId="0" fontId="0" fillId="0" borderId="4" xfId="0" applyBorder="1" applyAlignment="1">
      <alignment horizontal="left" vertical="center"/>
    </xf>
    <xf numFmtId="20" fontId="0" fillId="0" borderId="4" xfId="0" applyNumberFormat="1" applyBorder="1" applyAlignment="1">
      <alignment horizontal="left" vertical="center"/>
    </xf>
    <xf numFmtId="20" fontId="0" fillId="0" borderId="5" xfId="0" applyNumberFormat="1" applyBorder="1" applyAlignment="1">
      <alignment horizontal="left" vertical="center"/>
    </xf>
    <xf numFmtId="20" fontId="0" fillId="0" borderId="6" xfId="0" applyNumberFormat="1" applyBorder="1" applyAlignment="1">
      <alignment horizontal="left" vertical="center"/>
    </xf>
    <xf numFmtId="168" fontId="0" fillId="0" borderId="4" xfId="0" applyNumberFormat="1" applyBorder="1" applyAlignment="1">
      <alignment horizontal="left" vertical="center"/>
    </xf>
    <xf numFmtId="168" fontId="0" fillId="0" borderId="5" xfId="0" applyNumberFormat="1" applyBorder="1" applyAlignment="1">
      <alignment horizontal="left" vertical="center"/>
    </xf>
    <xf numFmtId="168" fontId="0" fillId="0" borderId="6" xfId="0" applyNumberFormat="1" applyBorder="1" applyAlignment="1">
      <alignment horizontal="left" vertical="center"/>
    </xf>
    <xf numFmtId="0" fontId="24" fillId="0" borderId="1" xfId="0" applyFont="1" applyBorder="1" applyAlignment="1">
      <alignment horizontal="center" vertical="center"/>
    </xf>
    <xf numFmtId="2" fontId="42" fillId="0" borderId="1" xfId="0" applyNumberFormat="1" applyFont="1" applyBorder="1" applyAlignment="1">
      <alignment horizontal="center" vertical="center"/>
    </xf>
    <xf numFmtId="2" fontId="0" fillId="0" borderId="1" xfId="0" applyNumberFormat="1" applyBorder="1" applyAlignment="1">
      <alignment horizontal="left" vertical="center"/>
    </xf>
    <xf numFmtId="0" fontId="19" fillId="0" borderId="1" xfId="0" applyFont="1" applyBorder="1" applyAlignment="1">
      <alignment horizontal="left" vertical="center" wrapText="1"/>
    </xf>
    <xf numFmtId="167" fontId="26" fillId="0" borderId="1" xfId="1" applyNumberFormat="1" applyFont="1" applyBorder="1" applyAlignment="1">
      <alignment horizontal="left" vertical="center"/>
    </xf>
    <xf numFmtId="165" fontId="16" fillId="0" borderId="1" xfId="0" applyNumberFormat="1" applyFont="1" applyBorder="1" applyAlignment="1">
      <alignment horizontal="center" vertical="center"/>
    </xf>
    <xf numFmtId="0" fontId="3" fillId="0" borderId="0" xfId="0" applyFont="1" applyAlignment="1">
      <alignment horizontal="right" vertical="center"/>
    </xf>
    <xf numFmtId="2" fontId="16" fillId="0" borderId="1" xfId="0" applyNumberFormat="1" applyFont="1" applyBorder="1" applyAlignment="1">
      <alignment horizontal="center" vertical="center"/>
    </xf>
    <xf numFmtId="0" fontId="3" fillId="0" borderId="11" xfId="0" applyFont="1" applyBorder="1" applyAlignment="1">
      <alignment horizontal="center" vertical="center"/>
    </xf>
    <xf numFmtId="0" fontId="19" fillId="0" borderId="1" xfId="0" applyFont="1" applyBorder="1" applyAlignment="1">
      <alignment vertical="center"/>
    </xf>
    <xf numFmtId="0" fontId="17" fillId="0" borderId="1" xfId="0" applyFont="1" applyBorder="1" applyAlignment="1">
      <alignment vertical="center"/>
    </xf>
    <xf numFmtId="0" fontId="0" fillId="0" borderId="1" xfId="0" applyBorder="1" applyAlignment="1">
      <alignment vertical="center"/>
    </xf>
    <xf numFmtId="0" fontId="16" fillId="0" borderId="1" xfId="0" applyFont="1" applyBorder="1" applyAlignment="1">
      <alignment horizontal="center" vertical="center"/>
    </xf>
    <xf numFmtId="0" fontId="17" fillId="0" borderId="1" xfId="0" applyFont="1" applyBorder="1" applyAlignment="1">
      <alignment horizontal="center" vertical="center"/>
    </xf>
    <xf numFmtId="0" fontId="19" fillId="0" borderId="1" xfId="0" applyFont="1" applyBorder="1" applyAlignment="1">
      <alignment horizontal="center" vertical="center"/>
    </xf>
    <xf numFmtId="0" fontId="18" fillId="0" borderId="1" xfId="0" applyFont="1" applyBorder="1" applyAlignment="1">
      <alignment horizontal="center" vertical="center"/>
    </xf>
    <xf numFmtId="0" fontId="19" fillId="0" borderId="1" xfId="0" applyFont="1" applyBorder="1" applyAlignment="1">
      <alignment horizontal="center" vertical="center" textRotation="90"/>
    </xf>
    <xf numFmtId="0" fontId="9" fillId="0" borderId="0" xfId="0" applyFont="1" applyAlignment="1">
      <alignment horizontal="center" vertical="center"/>
    </xf>
    <xf numFmtId="0" fontId="22" fillId="0" borderId="1" xfId="0" applyFont="1" applyBorder="1" applyAlignment="1">
      <alignment horizontal="left" vertical="center"/>
    </xf>
    <xf numFmtId="0" fontId="20" fillId="0" borderId="8" xfId="0" applyFont="1" applyBorder="1" applyAlignment="1">
      <alignment horizontal="left" vertical="center" wrapText="1"/>
    </xf>
    <xf numFmtId="0" fontId="20" fillId="0" borderId="7" xfId="0" applyFont="1" applyBorder="1" applyAlignment="1">
      <alignment horizontal="left" vertical="center" wrapText="1"/>
    </xf>
    <xf numFmtId="0" fontId="20" fillId="0" borderId="9" xfId="0" applyFont="1" applyBorder="1" applyAlignment="1">
      <alignment horizontal="left" vertical="center" wrapText="1"/>
    </xf>
    <xf numFmtId="166" fontId="0" fillId="0" borderId="1" xfId="0" applyNumberFormat="1" applyBorder="1" applyAlignment="1">
      <alignment horizontal="left" vertical="center"/>
    </xf>
    <xf numFmtId="49" fontId="0" fillId="0" borderId="1" xfId="0" applyNumberFormat="1" applyBorder="1" applyAlignment="1">
      <alignment horizontal="left" vertical="center"/>
    </xf>
    <xf numFmtId="2" fontId="1" fillId="0" borderId="1" xfId="0" applyNumberFormat="1" applyFont="1" applyBorder="1" applyAlignment="1">
      <alignment horizontal="left" vertical="center"/>
    </xf>
    <xf numFmtId="0" fontId="21" fillId="0" borderId="1" xfId="0" applyFont="1" applyBorder="1" applyAlignment="1">
      <alignment horizontal="left" vertical="center"/>
    </xf>
    <xf numFmtId="0" fontId="33" fillId="0" borderId="1" xfId="0" applyFont="1" applyBorder="1" applyAlignment="1">
      <alignment horizontal="left" vertical="center"/>
    </xf>
    <xf numFmtId="0" fontId="19" fillId="0" borderId="4" xfId="0" applyFont="1" applyBorder="1" applyAlignment="1">
      <alignment horizontal="left" vertical="center"/>
    </xf>
    <xf numFmtId="0" fontId="19" fillId="0" borderId="5" xfId="0" applyFont="1" applyBorder="1" applyAlignment="1">
      <alignment horizontal="left" vertical="center"/>
    </xf>
    <xf numFmtId="0" fontId="19" fillId="0" borderId="6" xfId="0" applyFont="1" applyBorder="1" applyAlignment="1">
      <alignment horizontal="left" vertical="center"/>
    </xf>
    <xf numFmtId="0" fontId="10" fillId="0" borderId="0" xfId="0" applyFont="1" applyAlignment="1">
      <alignment horizontal="right"/>
    </xf>
    <xf numFmtId="164" fontId="24" fillId="0" borderId="0" xfId="0" applyNumberFormat="1" applyFont="1" applyAlignment="1">
      <alignment horizontal="left"/>
    </xf>
    <xf numFmtId="0" fontId="17" fillId="0" borderId="0" xfId="0" applyFont="1" applyAlignment="1">
      <alignment horizontal="center" vertical="center"/>
    </xf>
    <xf numFmtId="49" fontId="17" fillId="0" borderId="1" xfId="0" applyNumberFormat="1" applyFont="1" applyBorder="1" applyAlignment="1">
      <alignment horizontal="left" vertical="center"/>
    </xf>
    <xf numFmtId="0" fontId="4" fillId="0" borderId="0" xfId="0" applyFont="1" applyAlignment="1">
      <alignment horizontal="center" vertical="center"/>
    </xf>
    <xf numFmtId="168" fontId="24" fillId="0" borderId="0" xfId="0" applyNumberFormat="1" applyFont="1" applyAlignment="1">
      <alignment horizontal="left"/>
    </xf>
    <xf numFmtId="0" fontId="24" fillId="0" borderId="4" xfId="0" applyFont="1" applyBorder="1" applyAlignment="1">
      <alignment horizontal="center" vertical="center"/>
    </xf>
    <xf numFmtId="0" fontId="24" fillId="0" borderId="6" xfId="0" applyFont="1" applyBorder="1" applyAlignment="1">
      <alignment horizontal="center" vertical="center"/>
    </xf>
    <xf numFmtId="0" fontId="14" fillId="0" borderId="1"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left" vertical="center"/>
    </xf>
    <xf numFmtId="0" fontId="10" fillId="0" borderId="1" xfId="0" applyFont="1" applyBorder="1" applyAlignment="1">
      <alignment horizontal="center" vertical="center"/>
    </xf>
    <xf numFmtId="2" fontId="5" fillId="0" borderId="1" xfId="0" applyNumberFormat="1" applyFont="1" applyBorder="1" applyAlignment="1">
      <alignment horizontal="left" vertical="center"/>
    </xf>
    <xf numFmtId="0" fontId="5" fillId="0" borderId="8" xfId="0" applyFont="1" applyBorder="1" applyAlignment="1">
      <alignment horizontal="left"/>
    </xf>
    <xf numFmtId="0" fontId="5" fillId="0" borderId="7" xfId="0" applyFont="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xf>
    <xf numFmtId="0" fontId="5" fillId="0" borderId="11" xfId="0" applyFont="1" applyBorder="1" applyAlignment="1">
      <alignment horizontal="left"/>
    </xf>
    <xf numFmtId="0" fontId="5" fillId="0" borderId="12" xfId="0" applyFont="1" applyBorder="1" applyAlignment="1">
      <alignment horizontal="left"/>
    </xf>
    <xf numFmtId="166" fontId="5" fillId="0" borderId="1" xfId="0" applyNumberFormat="1" applyFont="1" applyBorder="1" applyAlignment="1">
      <alignment horizontal="left" vertical="center"/>
    </xf>
    <xf numFmtId="0" fontId="2" fillId="0" borderId="0" xfId="0" applyFont="1" applyAlignment="1">
      <alignment horizontal="justify" vertical="top"/>
    </xf>
    <xf numFmtId="0" fontId="9" fillId="0" borderId="1" xfId="0" applyFont="1" applyBorder="1" applyAlignment="1">
      <alignment horizontal="right" vertical="center"/>
    </xf>
    <xf numFmtId="164" fontId="25" fillId="0" borderId="1" xfId="0" quotePrefix="1" applyNumberFormat="1" applyFont="1" applyBorder="1" applyAlignment="1">
      <alignment horizontal="left" vertical="center"/>
    </xf>
    <xf numFmtId="164" fontId="25" fillId="0" borderId="1" xfId="0" applyNumberFormat="1" applyFont="1" applyBorder="1" applyAlignment="1">
      <alignment horizontal="left" vertical="center"/>
    </xf>
    <xf numFmtId="0" fontId="10" fillId="0" borderId="1" xfId="0" applyFont="1" applyBorder="1" applyAlignment="1">
      <alignment horizontal="left" vertical="center"/>
    </xf>
    <xf numFmtId="0" fontId="25" fillId="0" borderId="1" xfId="0" applyFont="1" applyBorder="1" applyAlignment="1">
      <alignment horizontal="left" vertical="center"/>
    </xf>
    <xf numFmtId="0" fontId="25" fillId="0" borderId="1" xfId="0" quotePrefix="1" applyFont="1" applyBorder="1" applyAlignment="1">
      <alignment horizontal="left" vertical="center"/>
    </xf>
    <xf numFmtId="0" fontId="25" fillId="0" borderId="0" xfId="0" applyFont="1" applyAlignment="1">
      <alignment horizontal="justify" vertical="center"/>
    </xf>
    <xf numFmtId="0" fontId="25" fillId="0" borderId="0" xfId="0" applyFont="1" applyAlignment="1">
      <alignment horizontal="center" vertical="center"/>
    </xf>
    <xf numFmtId="0" fontId="29" fillId="0" borderId="11" xfId="0" applyFont="1" applyBorder="1" applyAlignment="1">
      <alignment horizontal="left" vertical="center"/>
    </xf>
    <xf numFmtId="168" fontId="29" fillId="0" borderId="11" xfId="0" applyNumberFormat="1" applyFont="1" applyBorder="1" applyAlignment="1">
      <alignment horizontal="center" vertical="center"/>
    </xf>
    <xf numFmtId="0" fontId="10" fillId="0" borderId="1" xfId="0" applyFont="1" applyBorder="1" applyAlignment="1">
      <alignment horizontal="center" vertical="center" wrapText="1"/>
    </xf>
    <xf numFmtId="0" fontId="24" fillId="0" borderId="1" xfId="0" applyFont="1" applyBorder="1" applyAlignment="1">
      <alignment horizontal="left" vertical="center"/>
    </xf>
    <xf numFmtId="16" fontId="25" fillId="0" borderId="1" xfId="0" applyNumberFormat="1" applyFont="1" applyBorder="1" applyAlignment="1">
      <alignment horizontal="left" vertical="center"/>
    </xf>
    <xf numFmtId="0" fontId="44" fillId="0" borderId="0" xfId="0" applyFont="1" applyAlignment="1">
      <alignment horizontal="center" vertical="center"/>
    </xf>
    <xf numFmtId="0" fontId="43" fillId="0" borderId="0" xfId="0" applyFont="1" applyAlignment="1">
      <alignment horizontal="center" vertic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10" fillId="0" borderId="1" xfId="0" applyFont="1" applyBorder="1" applyAlignment="1">
      <alignment horizontal="left" wrapText="1"/>
    </xf>
    <xf numFmtId="2" fontId="46" fillId="0" borderId="0" xfId="0" applyNumberFormat="1" applyFont="1" applyAlignment="1">
      <alignment horizontal="center" vertical="center"/>
    </xf>
    <xf numFmtId="0" fontId="46" fillId="0" borderId="0" xfId="0" applyFont="1" applyAlignment="1">
      <alignment horizontal="center" vertical="center"/>
    </xf>
    <xf numFmtId="49" fontId="0" fillId="0" borderId="4" xfId="0" applyNumberFormat="1" applyBorder="1" applyAlignment="1">
      <alignment horizontal="left" vertical="center"/>
    </xf>
    <xf numFmtId="49" fontId="0" fillId="0" borderId="5" xfId="0" applyNumberFormat="1" applyBorder="1" applyAlignment="1">
      <alignment horizontal="left" vertical="center"/>
    </xf>
    <xf numFmtId="49" fontId="0" fillId="0" borderId="6" xfId="0" applyNumberFormat="1" applyBorder="1" applyAlignment="1">
      <alignment horizontal="left" vertical="center"/>
    </xf>
    <xf numFmtId="0" fontId="10" fillId="0" borderId="13" xfId="0" applyFont="1" applyBorder="1" applyAlignment="1">
      <alignment horizontal="right" vertical="center"/>
    </xf>
    <xf numFmtId="3" fontId="17" fillId="0" borderId="1" xfId="0" applyNumberFormat="1" applyFont="1" applyBorder="1" applyAlignment="1">
      <alignment horizontal="left" vertical="center"/>
    </xf>
    <xf numFmtId="0" fontId="31" fillId="0" borderId="0" xfId="0" applyFont="1" applyAlignment="1">
      <alignment horizontal="left" vertical="center" wrapText="1"/>
    </xf>
    <xf numFmtId="0" fontId="50" fillId="0" borderId="15" xfId="0" applyFont="1" applyBorder="1" applyAlignment="1">
      <alignment horizontal="center" vertical="center" wrapText="1"/>
    </xf>
    <xf numFmtId="0" fontId="50" fillId="0" borderId="14" xfId="0" applyFont="1" applyBorder="1" applyAlignment="1">
      <alignment horizontal="center" vertical="center" wrapText="1"/>
    </xf>
    <xf numFmtId="0" fontId="50" fillId="0" borderId="16" xfId="0" applyFont="1" applyBorder="1" applyAlignment="1">
      <alignment horizontal="center" vertical="center" wrapText="1"/>
    </xf>
    <xf numFmtId="0" fontId="50" fillId="0" borderId="17" xfId="0" applyFont="1" applyBorder="1" applyAlignment="1">
      <alignment horizontal="center" vertical="center" wrapText="1"/>
    </xf>
    <xf numFmtId="0" fontId="50" fillId="0" borderId="0" xfId="0" applyFont="1" applyAlignment="1">
      <alignment horizontal="center" vertical="center" wrapText="1"/>
    </xf>
    <xf numFmtId="0" fontId="50" fillId="0" borderId="18" xfId="0" applyFont="1" applyBorder="1" applyAlignment="1">
      <alignment horizontal="center" vertical="center" wrapText="1"/>
    </xf>
    <xf numFmtId="0" fontId="50" fillId="0" borderId="19" xfId="0" applyFont="1" applyBorder="1" applyAlignment="1">
      <alignment horizontal="center" vertical="center" wrapText="1"/>
    </xf>
    <xf numFmtId="0" fontId="50" fillId="0" borderId="20" xfId="0" applyFont="1" applyBorder="1" applyAlignment="1">
      <alignment horizontal="center" vertical="center" wrapText="1"/>
    </xf>
    <xf numFmtId="0" fontId="50" fillId="0" borderId="21" xfId="0" applyFont="1" applyBorder="1" applyAlignment="1">
      <alignment horizontal="center" vertical="center" wrapText="1"/>
    </xf>
    <xf numFmtId="0" fontId="6" fillId="0" borderId="1" xfId="0" applyFont="1" applyBorder="1" applyAlignment="1">
      <alignment horizontal="left" vertical="center"/>
    </xf>
    <xf numFmtId="0" fontId="10" fillId="0" borderId="0" xfId="0" applyFont="1" applyAlignment="1">
      <alignment vertical="center"/>
    </xf>
    <xf numFmtId="0" fontId="24" fillId="0" borderId="1" xfId="0" applyFont="1" applyBorder="1" applyAlignment="1">
      <alignment horizontal="justify" vertical="center" wrapText="1"/>
    </xf>
    <xf numFmtId="168" fontId="24" fillId="0" borderId="1" xfId="0" applyNumberFormat="1" applyFont="1" applyBorder="1" applyAlignment="1">
      <alignment horizontal="left" vertical="center"/>
    </xf>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left" vertical="top"/>
    </xf>
    <xf numFmtId="0" fontId="0" fillId="0" borderId="13" xfId="0" applyBorder="1" applyAlignment="1">
      <alignment horizontal="center"/>
    </xf>
    <xf numFmtId="0" fontId="0" fillId="0" borderId="7" xfId="0" applyBorder="1" applyAlignment="1">
      <alignment horizontal="center" wrapText="1"/>
    </xf>
    <xf numFmtId="0" fontId="0" fillId="0" borderId="0" xfId="0" applyAlignment="1">
      <alignment horizontal="center" wrapText="1"/>
    </xf>
    <xf numFmtId="0" fontId="0" fillId="0" borderId="6" xfId="0" applyBorder="1" applyAlignment="1">
      <alignment horizontal="center" wrapText="1"/>
    </xf>
    <xf numFmtId="0" fontId="0" fillId="0" borderId="6"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wrapText="1"/>
    </xf>
    <xf numFmtId="0" fontId="0" fillId="0" borderId="1" xfId="0" applyBorder="1" applyAlignment="1">
      <alignment horizontal="left"/>
    </xf>
    <xf numFmtId="0" fontId="0" fillId="0" borderId="22" xfId="0" applyBorder="1" applyAlignment="1">
      <alignment horizontal="left" vertical="center"/>
    </xf>
    <xf numFmtId="0" fontId="0" fillId="0" borderId="0" xfId="0" applyAlignment="1">
      <alignment horizontal="left" vertical="center"/>
    </xf>
    <xf numFmtId="0" fontId="0" fillId="0" borderId="1" xfId="0" applyBorder="1" applyAlignment="1">
      <alignment horizontal="center" vertical="center" wrapText="1"/>
    </xf>
    <xf numFmtId="0" fontId="0" fillId="0" borderId="6" xfId="0" applyBorder="1" applyAlignment="1">
      <alignment horizontal="center" vertical="center"/>
    </xf>
  </cellXfs>
  <cellStyles count="2">
    <cellStyle name="Normal" xfId="0" builtinId="0"/>
    <cellStyle name="Percent" xfId="1" builtinId="5"/>
  </cellStyles>
  <dxfs count="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3"/>
      </font>
    </dxf>
    <dxf>
      <font>
        <b/>
        <i val="0"/>
        <color theme="4"/>
      </font>
      <fill>
        <patternFill patternType="none">
          <bgColor auto="1"/>
        </patternFill>
      </fill>
    </dxf>
    <dxf>
      <font>
        <color theme="3"/>
      </font>
    </dxf>
    <dxf>
      <font>
        <b/>
        <i val="0"/>
        <color theme="4"/>
      </font>
      <fill>
        <patternFill patternType="none">
          <bgColor auto="1"/>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44</xdr:col>
      <xdr:colOff>53551</xdr:colOff>
      <xdr:row>4</xdr:row>
      <xdr:rowOff>69397</xdr:rowOff>
    </xdr:from>
    <xdr:to>
      <xdr:col>50</xdr:col>
      <xdr:colOff>5953</xdr:colOff>
      <xdr:row>7</xdr:row>
      <xdr:rowOff>141442</xdr:rowOff>
    </xdr:to>
    <xdr:pic>
      <xdr:nvPicPr>
        <xdr:cNvPr id="2" name="Picture 5" descr="Graphic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987251" y="669472"/>
          <a:ext cx="352452" cy="529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44</xdr:col>
      <xdr:colOff>53551</xdr:colOff>
      <xdr:row>3</xdr:row>
      <xdr:rowOff>47625</xdr:rowOff>
    </xdr:from>
    <xdr:to>
      <xdr:col>50</xdr:col>
      <xdr:colOff>5953</xdr:colOff>
      <xdr:row>6</xdr:row>
      <xdr:rowOff>119670</xdr:rowOff>
    </xdr:to>
    <xdr:pic>
      <xdr:nvPicPr>
        <xdr:cNvPr id="3" name="Picture 5" descr="Graphic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934864" y="500063"/>
          <a:ext cx="345308" cy="536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13</xdr:col>
      <xdr:colOff>295275</xdr:colOff>
      <xdr:row>0</xdr:row>
      <xdr:rowOff>95249</xdr:rowOff>
    </xdr:from>
    <xdr:to>
      <xdr:col>14</xdr:col>
      <xdr:colOff>336911</xdr:colOff>
      <xdr:row>3</xdr:row>
      <xdr:rowOff>38100</xdr:rowOff>
    </xdr:to>
    <xdr:pic>
      <xdr:nvPicPr>
        <xdr:cNvPr id="2" name="Picture 5" descr="Graphic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8220075" y="95249"/>
          <a:ext cx="651236" cy="609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EO201"/>
  <sheetViews>
    <sheetView tabSelected="1" view="pageBreakPreview" zoomScale="90" zoomScaleNormal="145" zoomScaleSheetLayoutView="90" zoomScalePageLayoutView="145" workbookViewId="0">
      <selection activeCell="DC14" sqref="DC14"/>
    </sheetView>
  </sheetViews>
  <sheetFormatPr defaultColWidth="8.81640625" defaultRowHeight="14" x14ac:dyDescent="0.35"/>
  <cols>
    <col min="1" max="130" width="1" style="2" customWidth="1"/>
    <col min="131" max="131" width="3.453125" style="2" customWidth="1"/>
    <col min="132" max="140" width="1.7265625" style="2" customWidth="1"/>
    <col min="141" max="141" width="1.7265625" style="3" customWidth="1"/>
    <col min="142" max="182" width="1.7265625" style="2" customWidth="1"/>
    <col min="183" max="16384" width="8.81640625" style="2"/>
  </cols>
  <sheetData>
    <row r="1" spans="1:145" ht="15.75" customHeight="1" x14ac:dyDescent="0.35">
      <c r="A1" s="79" t="s">
        <v>0</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79"/>
      <c r="AN1" s="79"/>
      <c r="AO1" s="79"/>
      <c r="AP1" s="79"/>
      <c r="AQ1" s="79"/>
      <c r="AR1" s="79"/>
      <c r="AS1" s="79"/>
      <c r="AT1" s="79"/>
      <c r="AU1" s="79"/>
      <c r="AV1" s="79"/>
      <c r="AW1" s="79"/>
      <c r="AX1" s="79"/>
      <c r="AY1" s="79"/>
      <c r="AZ1" s="79"/>
      <c r="BA1" s="79"/>
      <c r="BB1" s="79"/>
      <c r="BC1" s="79"/>
      <c r="BD1" s="79"/>
      <c r="BE1" s="79"/>
      <c r="BF1" s="79"/>
      <c r="BG1" s="79"/>
      <c r="BH1" s="79"/>
      <c r="BI1" s="79"/>
      <c r="BJ1" s="79"/>
      <c r="BK1" s="79"/>
      <c r="BL1" s="79"/>
      <c r="BM1" s="79"/>
      <c r="BN1" s="79"/>
      <c r="BO1" s="79"/>
      <c r="BP1" s="79"/>
      <c r="BQ1" s="79"/>
      <c r="BR1" s="79"/>
      <c r="BS1" s="79"/>
      <c r="BT1" s="79"/>
      <c r="BU1" s="79"/>
      <c r="BV1" s="79"/>
      <c r="BW1" s="79"/>
      <c r="BX1" s="79"/>
      <c r="BY1" s="79"/>
      <c r="BZ1" s="79"/>
      <c r="CA1" s="79"/>
      <c r="CB1" s="79"/>
      <c r="CC1" s="79"/>
      <c r="CD1" s="79"/>
      <c r="CE1" s="79"/>
      <c r="CF1" s="79"/>
      <c r="CG1" s="79"/>
      <c r="CH1" s="79"/>
      <c r="CI1" s="79"/>
      <c r="CJ1" s="79"/>
      <c r="CK1" s="79"/>
      <c r="CL1" s="79"/>
      <c r="CM1" s="79"/>
      <c r="CN1" s="79"/>
      <c r="CO1" s="79"/>
    </row>
    <row r="2" spans="1:145" ht="9.75" customHeight="1" x14ac:dyDescent="0.35">
      <c r="A2" s="80" t="s">
        <v>1</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0"/>
      <c r="AV2" s="80"/>
      <c r="AW2" s="80"/>
      <c r="AX2" s="80"/>
      <c r="AY2" s="80"/>
      <c r="AZ2" s="80"/>
      <c r="BA2" s="80"/>
      <c r="BB2" s="80"/>
      <c r="BC2" s="80"/>
      <c r="BD2" s="80"/>
      <c r="BE2" s="80"/>
      <c r="BF2" s="80"/>
      <c r="BG2" s="80"/>
      <c r="BH2" s="80"/>
      <c r="BI2" s="80"/>
      <c r="BJ2" s="80"/>
      <c r="BK2" s="80"/>
      <c r="BL2" s="80"/>
      <c r="BM2" s="80"/>
      <c r="BN2" s="80"/>
      <c r="BO2" s="80"/>
      <c r="BP2" s="80"/>
      <c r="BQ2" s="80"/>
      <c r="BR2" s="80"/>
      <c r="BS2" s="80"/>
      <c r="BT2" s="80"/>
      <c r="BU2" s="80"/>
      <c r="BV2" s="80"/>
      <c r="BW2" s="80"/>
      <c r="BX2" s="80"/>
      <c r="BY2" s="80"/>
      <c r="BZ2" s="80"/>
      <c r="CA2" s="80"/>
      <c r="CB2" s="80"/>
      <c r="CC2" s="80"/>
      <c r="CD2" s="80"/>
      <c r="CE2" s="80"/>
      <c r="CF2" s="80"/>
      <c r="CG2" s="80"/>
      <c r="CH2" s="80"/>
      <c r="CI2" s="80"/>
      <c r="CJ2" s="80"/>
      <c r="CK2" s="80"/>
      <c r="CL2" s="80"/>
      <c r="CM2" s="80"/>
      <c r="CN2" s="80"/>
      <c r="CO2" s="80"/>
    </row>
    <row r="3" spans="1:145" ht="8.15" customHeight="1" x14ac:dyDescent="0.3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row>
    <row r="4" spans="1:145" ht="14.25" customHeight="1" x14ac:dyDescent="0.35">
      <c r="A4" s="78" t="s">
        <v>2</v>
      </c>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92" t="s">
        <v>357</v>
      </c>
      <c r="AL4" s="92"/>
      <c r="AM4" s="92"/>
      <c r="AN4" s="92"/>
      <c r="AO4" s="92"/>
      <c r="AP4" s="92"/>
      <c r="AQ4" s="93" t="s">
        <v>356</v>
      </c>
      <c r="AR4" s="93"/>
      <c r="AS4" s="93"/>
      <c r="AT4" s="93"/>
      <c r="AU4" s="93"/>
      <c r="AV4" s="93"/>
      <c r="AW4" s="93"/>
      <c r="AX4" s="93"/>
      <c r="AY4" s="93"/>
      <c r="AZ4" s="18"/>
      <c r="BA4" s="18"/>
    </row>
    <row r="5" spans="1:145" ht="12" customHeight="1" x14ac:dyDescent="0.35">
      <c r="A5" s="2" t="s">
        <v>235</v>
      </c>
      <c r="BG5" s="2" t="s">
        <v>4</v>
      </c>
    </row>
    <row r="6" spans="1:145" ht="12" customHeight="1" x14ac:dyDescent="0.35">
      <c r="BG6" s="2" t="s">
        <v>5</v>
      </c>
    </row>
    <row r="7" spans="1:145" ht="12" customHeight="1" x14ac:dyDescent="0.35">
      <c r="BG7" s="2" t="s">
        <v>6</v>
      </c>
    </row>
    <row r="8" spans="1:145" ht="12" customHeight="1" x14ac:dyDescent="0.35">
      <c r="BG8" s="2" t="s">
        <v>79</v>
      </c>
    </row>
    <row r="9" spans="1:145" ht="6" customHeight="1" thickBot="1" x14ac:dyDescent="0.4">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row>
    <row r="10" spans="1:145" ht="19.5" customHeight="1" x14ac:dyDescent="0.35">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81" t="s">
        <v>7</v>
      </c>
      <c r="BH10" s="81"/>
      <c r="BI10" s="81"/>
      <c r="BJ10" s="81"/>
      <c r="BK10" s="81"/>
      <c r="BL10" s="81"/>
      <c r="BM10" s="82"/>
      <c r="BN10" s="82"/>
      <c r="BO10" s="82"/>
      <c r="BP10" s="82"/>
      <c r="BQ10" s="82"/>
      <c r="BR10" s="82"/>
      <c r="BS10" s="82"/>
      <c r="BT10" s="82"/>
      <c r="BU10" s="82"/>
      <c r="BV10" s="82"/>
      <c r="BW10" s="82"/>
      <c r="BX10" s="82"/>
      <c r="BY10" s="82"/>
      <c r="BZ10" s="82"/>
      <c r="CA10" s="32"/>
      <c r="CB10" s="32"/>
      <c r="CC10" s="32"/>
      <c r="CD10" s="32"/>
      <c r="CE10" s="32"/>
      <c r="CF10" s="32"/>
      <c r="CG10" s="32"/>
      <c r="CH10" s="32"/>
      <c r="CI10" s="32"/>
      <c r="CJ10" s="32"/>
      <c r="CK10" s="32"/>
      <c r="CL10" s="32"/>
      <c r="CM10" s="32"/>
      <c r="CN10" s="32"/>
      <c r="CO10" s="32"/>
    </row>
    <row r="11" spans="1:145" s="9" customFormat="1" ht="12" customHeight="1" x14ac:dyDescent="0.35">
      <c r="A11" s="65" t="s">
        <v>8</v>
      </c>
      <c r="B11" s="65"/>
      <c r="C11" s="65"/>
      <c r="D11" s="65"/>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row>
    <row r="12" spans="1:145" s="9" customFormat="1" ht="12" customHeight="1" x14ac:dyDescent="0.35">
      <c r="A12" s="31"/>
      <c r="B12" s="31"/>
      <c r="C12" s="31"/>
      <c r="D12" s="31"/>
      <c r="E12" s="31" t="s">
        <v>9</v>
      </c>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83" t="s">
        <v>338</v>
      </c>
      <c r="BH12" s="84"/>
      <c r="BI12" s="84"/>
      <c r="BJ12" s="84"/>
      <c r="BK12" s="84"/>
      <c r="BL12" s="84"/>
      <c r="BM12" s="84"/>
      <c r="BN12" s="84"/>
      <c r="BO12" s="84"/>
      <c r="BP12" s="84"/>
      <c r="BQ12" s="84"/>
      <c r="BR12" s="84"/>
      <c r="BS12" s="84"/>
      <c r="BT12" s="84"/>
      <c r="BU12" s="84"/>
      <c r="BV12" s="84"/>
      <c r="BW12" s="84"/>
      <c r="BX12" s="84"/>
      <c r="BY12" s="84"/>
      <c r="BZ12" s="84"/>
      <c r="CA12" s="84"/>
      <c r="CB12" s="84"/>
      <c r="CC12" s="84"/>
      <c r="CD12" s="84"/>
      <c r="CE12" s="84"/>
      <c r="CF12" s="84"/>
      <c r="CG12" s="84"/>
      <c r="CH12" s="84"/>
      <c r="CI12" s="84"/>
      <c r="CJ12" s="84"/>
      <c r="CK12" s="84"/>
      <c r="CL12" s="84"/>
      <c r="CM12" s="84"/>
      <c r="CN12" s="84"/>
      <c r="CO12" s="85"/>
      <c r="EO12" s="9">
        <f>EK14</f>
        <v>0</v>
      </c>
    </row>
    <row r="13" spans="1:145" s="9" customFormat="1" ht="12" customHeight="1" x14ac:dyDescent="0.35">
      <c r="A13" s="31"/>
      <c r="B13" s="31"/>
      <c r="C13" s="31"/>
      <c r="D13" s="31"/>
      <c r="E13" s="65" t="s">
        <v>341</v>
      </c>
      <c r="F13" s="65"/>
      <c r="G13" s="65"/>
      <c r="H13" s="65"/>
      <c r="I13" s="31" t="s">
        <v>10</v>
      </c>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86"/>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8"/>
      <c r="EO13" s="9">
        <f>EK13</f>
        <v>0</v>
      </c>
    </row>
    <row r="14" spans="1:145" s="9" customFormat="1" ht="12" customHeight="1" x14ac:dyDescent="0.35">
      <c r="A14" s="31"/>
      <c r="B14" s="31"/>
      <c r="C14" s="31"/>
      <c r="D14" s="31"/>
      <c r="E14" s="31" t="s">
        <v>11</v>
      </c>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89"/>
      <c r="BH14" s="90"/>
      <c r="BI14" s="90"/>
      <c r="BJ14" s="90"/>
      <c r="BK14" s="90"/>
      <c r="BL14" s="90"/>
      <c r="BM14" s="90"/>
      <c r="BN14" s="90"/>
      <c r="BO14" s="90"/>
      <c r="BP14" s="90"/>
      <c r="BQ14" s="90"/>
      <c r="BR14" s="90"/>
      <c r="BS14" s="90"/>
      <c r="BT14" s="90"/>
      <c r="BU14" s="90"/>
      <c r="BV14" s="90"/>
      <c r="BW14" s="90"/>
      <c r="BX14" s="90"/>
      <c r="BY14" s="90"/>
      <c r="BZ14" s="90"/>
      <c r="CA14" s="90"/>
      <c r="CB14" s="90"/>
      <c r="CC14" s="90"/>
      <c r="CD14" s="90"/>
      <c r="CE14" s="90"/>
      <c r="CF14" s="90"/>
      <c r="CG14" s="90"/>
      <c r="CH14" s="90"/>
      <c r="CI14" s="90"/>
      <c r="CJ14" s="90"/>
      <c r="CK14" s="90"/>
      <c r="CL14" s="90"/>
      <c r="CM14" s="90"/>
      <c r="CN14" s="90"/>
      <c r="CO14" s="91"/>
      <c r="EO14" s="9">
        <f>EK12</f>
        <v>0</v>
      </c>
    </row>
    <row r="15" spans="1:145" ht="10" customHeight="1" x14ac:dyDescent="0.3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row>
    <row r="16" spans="1:145" s="9" customFormat="1" ht="13" customHeight="1" x14ac:dyDescent="0.35">
      <c r="A16" s="37" t="s">
        <v>12</v>
      </c>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row>
    <row r="17" spans="1:141" ht="5.25" customHeight="1" x14ac:dyDescent="0.35">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row>
    <row r="18" spans="1:141" ht="12" customHeight="1" x14ac:dyDescent="0.35">
      <c r="A18" s="32"/>
      <c r="B18" s="32"/>
      <c r="C18" s="32"/>
      <c r="D18" s="32"/>
      <c r="E18" s="32"/>
      <c r="F18" s="32"/>
      <c r="G18" s="32"/>
      <c r="H18" s="33" t="s">
        <v>227</v>
      </c>
      <c r="I18" s="33"/>
      <c r="J18" s="33"/>
      <c r="K18" s="33"/>
      <c r="L18" s="33"/>
      <c r="M18" s="32" t="s">
        <v>236</v>
      </c>
      <c r="Q18" s="32"/>
      <c r="R18" s="32"/>
      <c r="S18" s="32"/>
      <c r="T18" s="32"/>
      <c r="U18" s="32"/>
      <c r="V18" s="32"/>
      <c r="W18" s="32"/>
      <c r="X18" s="32"/>
      <c r="Y18" s="32"/>
      <c r="Z18" s="32"/>
      <c r="AA18" s="32"/>
      <c r="AB18" s="32"/>
      <c r="AC18" s="32"/>
      <c r="AD18" s="32"/>
      <c r="AE18" s="32"/>
      <c r="AF18" s="32"/>
      <c r="AG18" s="32"/>
      <c r="AH18" s="32"/>
      <c r="AI18" s="32"/>
      <c r="AJ18" s="32"/>
      <c r="AK18" s="32"/>
      <c r="AL18" s="32"/>
      <c r="AM18" s="66" t="s">
        <v>13</v>
      </c>
      <c r="AN18" s="66"/>
      <c r="AO18" s="66"/>
      <c r="AP18" s="66"/>
      <c r="AQ18" s="32" t="s">
        <v>237</v>
      </c>
      <c r="AR18" s="33"/>
      <c r="AT18" s="33"/>
      <c r="AU18" s="32"/>
      <c r="AW18" s="32"/>
      <c r="AX18" s="32"/>
      <c r="AY18" s="32"/>
      <c r="AZ18" s="32"/>
      <c r="BA18" s="32"/>
      <c r="BC18" s="67"/>
      <c r="BD18" s="67"/>
      <c r="BE18" s="67"/>
      <c r="BF18" s="67"/>
      <c r="BG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32" t="s">
        <v>43</v>
      </c>
      <c r="CG18" s="32"/>
      <c r="CH18" s="32"/>
      <c r="CI18" s="32"/>
      <c r="CJ18" s="32"/>
      <c r="CK18" s="32"/>
      <c r="CL18" s="32"/>
      <c r="CM18" s="32"/>
      <c r="CN18" s="32"/>
      <c r="CO18" s="32"/>
      <c r="DR18" s="68"/>
      <c r="DS18" s="68"/>
      <c r="DT18" s="68"/>
      <c r="DU18" s="68"/>
      <c r="DV18" s="68"/>
      <c r="DW18" s="68"/>
      <c r="DX18" s="68"/>
      <c r="DY18" s="68"/>
      <c r="DZ18" s="68"/>
      <c r="EA18" s="68"/>
      <c r="EB18" s="68"/>
      <c r="EC18" s="68"/>
      <c r="EK18" s="2"/>
    </row>
    <row r="19" spans="1:141" ht="4" customHeight="1" x14ac:dyDescent="0.35">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row>
    <row r="20" spans="1:141" ht="13" customHeight="1" x14ac:dyDescent="0.35">
      <c r="A20" s="32"/>
      <c r="B20" s="32"/>
      <c r="C20" s="32"/>
      <c r="D20" s="32"/>
      <c r="E20" s="32"/>
      <c r="F20" s="32"/>
      <c r="G20" s="32"/>
      <c r="H20" s="66" t="s">
        <v>228</v>
      </c>
      <c r="I20" s="66"/>
      <c r="J20" s="66"/>
      <c r="K20" s="66"/>
      <c r="L20" s="66"/>
      <c r="M20" s="64" t="s">
        <v>238</v>
      </c>
      <c r="N20" s="64"/>
      <c r="O20" s="64"/>
      <c r="P20" s="64"/>
      <c r="Q20" s="64"/>
      <c r="R20" s="64"/>
      <c r="S20" s="64"/>
      <c r="T20" s="64"/>
      <c r="U20" s="64"/>
      <c r="V20" s="64"/>
      <c r="W20" s="64"/>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64"/>
      <c r="BC20" s="64"/>
      <c r="BD20" s="64"/>
      <c r="BE20" s="64"/>
      <c r="BF20" s="64"/>
      <c r="BG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EK20" s="2"/>
    </row>
    <row r="21" spans="1:141" ht="13" customHeight="1" x14ac:dyDescent="0.35">
      <c r="A21" s="32"/>
      <c r="B21" s="32"/>
      <c r="C21" s="32"/>
      <c r="D21" s="32"/>
      <c r="E21" s="32"/>
      <c r="F21" s="32"/>
      <c r="G21" s="32"/>
      <c r="H21" s="32"/>
      <c r="I21" s="32"/>
      <c r="J21" s="32"/>
      <c r="K21" s="35"/>
      <c r="L21" s="35"/>
      <c r="M21" s="64" t="s">
        <v>239</v>
      </c>
      <c r="N21" s="64"/>
      <c r="O21" s="64"/>
      <c r="P21" s="64"/>
      <c r="Q21" s="64"/>
      <c r="R21" s="64"/>
      <c r="S21" s="64"/>
      <c r="T21" s="64"/>
      <c r="U21" s="64"/>
      <c r="V21" s="64"/>
      <c r="W21" s="64"/>
      <c r="X21" s="64"/>
      <c r="Y21" s="64"/>
      <c r="Z21" s="64"/>
      <c r="AA21" s="64"/>
      <c r="AB21" s="64"/>
      <c r="AC21" s="64"/>
      <c r="AD21" s="64"/>
      <c r="AE21" s="64"/>
      <c r="AF21" s="64"/>
      <c r="AG21" s="64"/>
      <c r="AH21" s="64"/>
      <c r="AI21" s="64"/>
      <c r="AJ21" s="64"/>
      <c r="AK21" s="64"/>
      <c r="AL21" s="64"/>
      <c r="AM21" s="64"/>
      <c r="AN21" s="64"/>
      <c r="AO21" s="64"/>
      <c r="AP21" s="64"/>
      <c r="AQ21" s="64"/>
      <c r="AR21" s="64"/>
      <c r="AS21" s="64"/>
      <c r="AT21" s="64"/>
      <c r="AU21" s="64"/>
      <c r="AV21" s="64"/>
      <c r="AW21" s="64"/>
      <c r="AX21" s="64"/>
      <c r="AY21" s="64"/>
      <c r="AZ21" s="64"/>
      <c r="BA21" s="64"/>
      <c r="BB21" s="64"/>
      <c r="BC21" s="64"/>
      <c r="BD21" s="64"/>
      <c r="BE21" s="64"/>
      <c r="BF21" s="64"/>
      <c r="BG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EK21" s="2"/>
    </row>
    <row r="22" spans="1:141" ht="13" customHeight="1" x14ac:dyDescent="0.35">
      <c r="A22" s="68" t="s">
        <v>44</v>
      </c>
      <c r="B22" s="68"/>
      <c r="C22" s="68"/>
      <c r="D22" s="68"/>
      <c r="E22" s="68"/>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c r="BF22" s="68"/>
      <c r="BG22" s="68"/>
      <c r="BH22" s="68"/>
      <c r="BI22" s="68"/>
      <c r="BJ22" s="68"/>
      <c r="BK22" s="68"/>
      <c r="BL22" s="68"/>
      <c r="BM22" s="68"/>
      <c r="BN22" s="68"/>
      <c r="BO22" s="68"/>
      <c r="BP22" s="68"/>
      <c r="BQ22" s="68"/>
      <c r="BR22" s="68"/>
      <c r="BS22" s="68"/>
      <c r="BT22" s="68"/>
      <c r="BU22" s="68"/>
      <c r="BV22" s="68"/>
      <c r="BW22" s="68"/>
      <c r="BX22" s="68"/>
      <c r="BY22" s="68"/>
      <c r="BZ22" s="68"/>
      <c r="CA22" s="68"/>
      <c r="CB22" s="68"/>
      <c r="CC22" s="68"/>
      <c r="CD22" s="68"/>
      <c r="CE22" s="68"/>
      <c r="CF22" s="68"/>
      <c r="CG22" s="68"/>
      <c r="CH22" s="68"/>
      <c r="CI22" s="68"/>
      <c r="CJ22" s="68"/>
      <c r="CK22" s="68"/>
      <c r="CL22" s="68"/>
      <c r="CM22" s="68"/>
      <c r="CN22" s="68"/>
      <c r="CO22" s="68"/>
    </row>
    <row r="23" spans="1:141" ht="12" customHeight="1" x14ac:dyDescent="0.35">
      <c r="H23" s="2" t="s">
        <v>240</v>
      </c>
      <c r="AN23" s="74" t="str">
        <f>AM18</f>
        <v>HT</v>
      </c>
      <c r="AO23" s="74"/>
      <c r="AP23" s="74"/>
      <c r="AQ23" s="74"/>
      <c r="AR23" s="74"/>
      <c r="AS23" s="2" t="s">
        <v>241</v>
      </c>
      <c r="AU23" s="8"/>
      <c r="AV23" s="8"/>
      <c r="AW23" s="8"/>
      <c r="BJ23" s="75"/>
      <c r="BK23" s="75"/>
      <c r="BL23" s="75"/>
      <c r="BM23" s="75"/>
      <c r="BN23" s="75"/>
      <c r="BO23" s="75"/>
      <c r="BP23" s="75"/>
      <c r="BQ23" s="75"/>
      <c r="BR23" s="75"/>
      <c r="BS23" s="75"/>
      <c r="BT23" s="75"/>
      <c r="BU23" s="75"/>
      <c r="BV23" s="75"/>
      <c r="BW23" s="2" t="s">
        <v>242</v>
      </c>
    </row>
    <row r="24" spans="1:141" ht="12" customHeight="1" x14ac:dyDescent="0.35">
      <c r="A24" s="76" t="s">
        <v>243</v>
      </c>
      <c r="B24" s="76"/>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c r="BE24" s="76"/>
      <c r="BF24" s="76"/>
      <c r="BG24" s="76"/>
      <c r="BH24" s="76"/>
      <c r="BI24" s="76"/>
      <c r="BJ24" s="76"/>
      <c r="BK24" s="76"/>
      <c r="BL24" s="76"/>
      <c r="BM24" s="76"/>
      <c r="BN24" s="76"/>
      <c r="BO24" s="76"/>
      <c r="BP24" s="76"/>
      <c r="BQ24" s="76"/>
      <c r="BR24" s="76"/>
      <c r="BS24" s="76"/>
      <c r="BT24" s="76"/>
      <c r="BU24" s="76"/>
      <c r="BV24" s="76"/>
      <c r="BW24" s="76"/>
      <c r="BX24" s="76"/>
      <c r="BY24" s="76"/>
      <c r="BZ24" s="76"/>
      <c r="CA24" s="76"/>
      <c r="CB24" s="76"/>
      <c r="CC24" s="76"/>
      <c r="CD24" s="76"/>
      <c r="CE24" s="76"/>
      <c r="CF24" s="76"/>
      <c r="CG24" s="76"/>
      <c r="CH24" s="76"/>
      <c r="CI24" s="76"/>
      <c r="CJ24" s="76"/>
      <c r="CK24" s="76"/>
      <c r="CL24" s="76"/>
      <c r="CM24" s="76"/>
      <c r="CN24" s="76"/>
      <c r="CO24" s="76"/>
    </row>
    <row r="25" spans="1:141" ht="8.15" customHeight="1" x14ac:dyDescent="0.35"/>
    <row r="26" spans="1:141" ht="13" customHeight="1" x14ac:dyDescent="0.35">
      <c r="A26" s="77" t="s">
        <v>244</v>
      </c>
      <c r="B26" s="77"/>
      <c r="C26" s="77"/>
      <c r="D26" s="77"/>
      <c r="E26" s="77"/>
      <c r="F26" s="77"/>
      <c r="G26" s="77"/>
      <c r="H26" s="77"/>
      <c r="I26" s="77"/>
      <c r="J26" s="77"/>
      <c r="K26" s="77"/>
      <c r="L26" s="77"/>
      <c r="M26" s="77"/>
      <c r="N26" s="77"/>
      <c r="O26" s="77"/>
      <c r="P26" s="77"/>
      <c r="Q26" s="77"/>
      <c r="R26" s="77"/>
      <c r="S26" s="77"/>
      <c r="T26" s="77"/>
      <c r="U26" s="77"/>
      <c r="V26" s="77"/>
      <c r="W26" s="77"/>
      <c r="X26" s="77"/>
      <c r="Y26" s="77"/>
      <c r="BP26" s="74" t="s">
        <v>49</v>
      </c>
      <c r="BQ26" s="74"/>
      <c r="BR26" s="74"/>
      <c r="BS26" s="74"/>
      <c r="BT26" s="74"/>
      <c r="BU26" s="74"/>
      <c r="BV26" s="78" t="s">
        <v>23</v>
      </c>
      <c r="BW26" s="78"/>
      <c r="BX26" s="78"/>
      <c r="BY26" s="78"/>
      <c r="BZ26" s="78"/>
      <c r="CA26" s="78"/>
      <c r="CD26" s="74" t="s">
        <v>50</v>
      </c>
      <c r="CE26" s="74"/>
      <c r="CF26" s="74"/>
      <c r="CG26" s="74"/>
      <c r="CH26" s="74"/>
      <c r="CI26" s="74"/>
      <c r="CJ26" s="78" t="s">
        <v>23</v>
      </c>
      <c r="CK26" s="78"/>
      <c r="CL26" s="78"/>
      <c r="CM26" s="78"/>
      <c r="CN26" s="78"/>
      <c r="CO26" s="78"/>
    </row>
    <row r="27" spans="1:141" ht="4" customHeight="1" x14ac:dyDescent="0.35"/>
    <row r="28" spans="1:141" s="5" customFormat="1" ht="37.5" customHeight="1" x14ac:dyDescent="0.35">
      <c r="A28" s="69" t="s">
        <v>51</v>
      </c>
      <c r="B28" s="70"/>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0"/>
      <c r="AK28" s="70"/>
      <c r="AL28" s="70"/>
      <c r="AM28" s="70"/>
      <c r="AN28" s="70"/>
      <c r="AO28" s="70"/>
      <c r="AP28" s="70"/>
      <c r="AQ28" s="70"/>
      <c r="AR28" s="71"/>
      <c r="AS28" s="71"/>
      <c r="AT28" s="71"/>
      <c r="AU28" s="71"/>
      <c r="AV28" s="71"/>
      <c r="AW28" s="71"/>
      <c r="AX28" s="71"/>
      <c r="AY28" s="71"/>
      <c r="AZ28" s="71"/>
      <c r="BA28" s="71"/>
      <c r="BB28" s="71"/>
      <c r="BC28" s="71"/>
      <c r="BD28" s="71"/>
      <c r="BE28" s="71"/>
      <c r="BF28" s="71"/>
      <c r="BG28" s="71"/>
      <c r="BH28" s="71"/>
      <c r="BI28" s="71"/>
      <c r="BJ28" s="71"/>
      <c r="BK28" s="71"/>
      <c r="BL28" s="71"/>
      <c r="BM28" s="71"/>
      <c r="BN28" s="71"/>
      <c r="BO28" s="71"/>
      <c r="BP28" s="71"/>
      <c r="BQ28" s="71"/>
      <c r="BR28" s="71"/>
      <c r="BS28" s="71"/>
      <c r="BT28" s="71"/>
      <c r="BU28" s="71"/>
      <c r="BV28" s="71"/>
      <c r="BW28" s="71"/>
      <c r="BX28" s="71"/>
      <c r="BY28" s="71"/>
      <c r="BZ28" s="71"/>
      <c r="CA28" s="71"/>
      <c r="CB28" s="71"/>
      <c r="CC28" s="71"/>
      <c r="CD28" s="71"/>
      <c r="CE28" s="71"/>
      <c r="CF28" s="71"/>
      <c r="CG28" s="71"/>
      <c r="CH28" s="71"/>
      <c r="CI28" s="71"/>
      <c r="CJ28" s="71"/>
      <c r="CK28" s="71"/>
      <c r="CL28" s="71"/>
      <c r="CM28" s="71"/>
      <c r="CN28" s="71"/>
      <c r="CO28" s="71"/>
      <c r="EK28" s="6"/>
    </row>
    <row r="29" spans="1:141" ht="16" customHeight="1" x14ac:dyDescent="0.35">
      <c r="A29" s="69" t="s">
        <v>245</v>
      </c>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70"/>
      <c r="AH29" s="70"/>
      <c r="AI29" s="70"/>
      <c r="AJ29" s="70"/>
      <c r="AK29" s="70"/>
      <c r="AL29" s="70"/>
      <c r="AM29" s="70"/>
      <c r="AN29" s="70"/>
      <c r="AO29" s="70"/>
      <c r="AP29" s="70"/>
      <c r="AQ29" s="70"/>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2"/>
      <c r="CD29" s="72"/>
      <c r="CE29" s="72"/>
      <c r="CF29" s="72"/>
      <c r="CG29" s="72"/>
      <c r="CH29" s="72"/>
      <c r="CI29" s="72"/>
      <c r="CJ29" s="72"/>
      <c r="CK29" s="72"/>
      <c r="CL29" s="72"/>
      <c r="CM29" s="72"/>
      <c r="CN29" s="72"/>
      <c r="CO29" s="72"/>
    </row>
    <row r="30" spans="1:141" ht="16" customHeight="1" x14ac:dyDescent="0.35">
      <c r="A30" s="69" t="s">
        <v>246</v>
      </c>
      <c r="B30" s="69"/>
      <c r="C30" s="69"/>
      <c r="D30" s="69"/>
      <c r="E30" s="69"/>
      <c r="F30" s="69"/>
      <c r="G30" s="69"/>
      <c r="H30" s="69"/>
      <c r="I30" s="69"/>
      <c r="J30" s="69"/>
      <c r="K30" s="69"/>
      <c r="L30" s="69"/>
      <c r="M30" s="69"/>
      <c r="N30" s="69"/>
      <c r="O30" s="69"/>
      <c r="P30" s="69"/>
      <c r="Q30" s="69"/>
      <c r="R30" s="69"/>
      <c r="S30" s="69"/>
      <c r="T30" s="69"/>
      <c r="U30" s="69"/>
      <c r="V30" s="69"/>
      <c r="W30" s="69"/>
      <c r="X30" s="70"/>
      <c r="Y30" s="70"/>
      <c r="Z30" s="70"/>
      <c r="AA30" s="70"/>
      <c r="AB30" s="70"/>
      <c r="AC30" s="70"/>
      <c r="AD30" s="70"/>
      <c r="AE30" s="70"/>
      <c r="AF30" s="70"/>
      <c r="AG30" s="70"/>
      <c r="AH30" s="70"/>
      <c r="AI30" s="70"/>
      <c r="AJ30" s="70"/>
      <c r="AK30" s="70"/>
      <c r="AL30" s="70"/>
      <c r="AM30" s="70"/>
      <c r="AN30" s="70"/>
      <c r="AO30" s="70"/>
      <c r="AP30" s="70"/>
      <c r="AQ30" s="70"/>
      <c r="AR30" s="72"/>
      <c r="AS30" s="73"/>
      <c r="AT30" s="73"/>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c r="BY30" s="73"/>
      <c r="BZ30" s="73"/>
      <c r="CA30" s="73"/>
      <c r="CB30" s="73"/>
      <c r="CC30" s="73"/>
      <c r="CD30" s="73"/>
      <c r="CE30" s="73"/>
      <c r="CF30" s="73"/>
      <c r="CG30" s="73"/>
      <c r="CH30" s="73"/>
      <c r="CI30" s="73"/>
      <c r="CJ30" s="73"/>
      <c r="CK30" s="73"/>
      <c r="CL30" s="73"/>
      <c r="CM30" s="73"/>
      <c r="CN30" s="73"/>
      <c r="CO30" s="73"/>
    </row>
    <row r="31" spans="1:141" ht="16" customHeight="1" x14ac:dyDescent="0.35">
      <c r="A31" s="69" t="s">
        <v>247</v>
      </c>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c r="AL31" s="69"/>
      <c r="AM31" s="69"/>
      <c r="AN31" s="69"/>
      <c r="AO31" s="69"/>
      <c r="AP31" s="69"/>
      <c r="AQ31" s="70"/>
      <c r="AR31" s="72"/>
      <c r="AS31" s="73"/>
      <c r="AT31" s="73"/>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c r="BY31" s="73"/>
      <c r="BZ31" s="73"/>
      <c r="CA31" s="73"/>
      <c r="CB31" s="73"/>
      <c r="CC31" s="73"/>
      <c r="CD31" s="73"/>
      <c r="CE31" s="73"/>
      <c r="CF31" s="73"/>
      <c r="CG31" s="73"/>
      <c r="CH31" s="73"/>
      <c r="CI31" s="73"/>
      <c r="CJ31" s="73"/>
      <c r="CK31" s="73"/>
      <c r="CL31" s="73"/>
      <c r="CM31" s="73"/>
      <c r="CN31" s="73"/>
      <c r="CO31" s="73"/>
      <c r="DD31" s="162"/>
      <c r="DE31" s="162"/>
      <c r="DF31" s="162"/>
      <c r="DG31" s="162"/>
      <c r="DH31" s="162"/>
      <c r="DI31" s="162"/>
      <c r="DJ31" s="162"/>
      <c r="DK31" s="162"/>
      <c r="DL31" s="162"/>
      <c r="DM31" s="162"/>
      <c r="DN31" s="162"/>
      <c r="DO31" s="162"/>
      <c r="DP31" s="162"/>
      <c r="DQ31" s="162"/>
      <c r="DR31" s="162"/>
      <c r="DS31" s="162"/>
      <c r="DT31" s="162"/>
      <c r="DU31" s="162"/>
      <c r="DV31" s="162"/>
      <c r="DW31" s="162"/>
      <c r="DX31" s="162"/>
      <c r="DY31" s="162"/>
      <c r="DZ31" s="162"/>
      <c r="EA31" s="162"/>
      <c r="EB31" s="162"/>
      <c r="EC31" s="162"/>
      <c r="ED31" s="162"/>
      <c r="EE31" s="162"/>
      <c r="EF31" s="162"/>
      <c r="EG31" s="162"/>
      <c r="EH31" s="162"/>
      <c r="EI31" s="162"/>
      <c r="EJ31" s="162"/>
      <c r="EK31" s="162"/>
    </row>
    <row r="32" spans="1:141" ht="16" customHeight="1" x14ac:dyDescent="0.35">
      <c r="A32" s="69" t="s">
        <v>248</v>
      </c>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c r="AL32" s="69"/>
      <c r="AM32" s="69"/>
      <c r="AN32" s="69"/>
      <c r="AO32" s="69"/>
      <c r="AP32" s="69"/>
      <c r="AQ32" s="69"/>
      <c r="AR32" s="97" t="s">
        <v>298</v>
      </c>
      <c r="AS32" s="73"/>
      <c r="AT32" s="73"/>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c r="BY32" s="73"/>
      <c r="BZ32" s="73"/>
      <c r="CA32" s="73"/>
      <c r="CB32" s="73"/>
      <c r="CC32" s="73"/>
      <c r="CD32" s="73"/>
      <c r="CE32" s="73"/>
      <c r="CF32" s="73"/>
      <c r="CG32" s="73"/>
      <c r="CH32" s="73"/>
      <c r="CI32" s="73"/>
      <c r="CJ32" s="73"/>
      <c r="CK32" s="73"/>
      <c r="CL32" s="73"/>
      <c r="CM32" s="73"/>
      <c r="CN32" s="73"/>
      <c r="CO32" s="73"/>
    </row>
    <row r="33" spans="1:93" ht="16" customHeight="1" x14ac:dyDescent="0.35">
      <c r="A33" s="98" t="s">
        <v>59</v>
      </c>
      <c r="B33" s="99"/>
      <c r="C33" s="99"/>
      <c r="D33" s="99"/>
      <c r="E33" s="99"/>
      <c r="F33" s="99"/>
      <c r="G33" s="99"/>
      <c r="H33" s="99"/>
      <c r="I33" s="99"/>
      <c r="J33" s="99"/>
      <c r="K33" s="99"/>
      <c r="L33" s="99"/>
      <c r="M33" s="99"/>
      <c r="N33" s="99"/>
      <c r="O33" s="99"/>
      <c r="P33" s="99"/>
      <c r="Q33" s="99"/>
      <c r="R33" s="99"/>
      <c r="S33" s="100"/>
      <c r="T33" s="101"/>
      <c r="U33" s="101"/>
      <c r="V33" s="101"/>
      <c r="W33" s="101"/>
      <c r="X33" s="101"/>
      <c r="Y33" s="101"/>
      <c r="Z33" s="101"/>
      <c r="AA33" s="101"/>
      <c r="AB33" s="101"/>
      <c r="AC33" s="101"/>
      <c r="AD33" s="101"/>
      <c r="AE33" s="101"/>
      <c r="AF33" s="101" t="s">
        <v>207</v>
      </c>
      <c r="AG33" s="101"/>
      <c r="AH33" s="101"/>
      <c r="AI33" s="101"/>
      <c r="AJ33" s="101" t="s">
        <v>207</v>
      </c>
      <c r="AK33" s="101"/>
      <c r="AL33" s="101"/>
      <c r="AM33" s="101"/>
      <c r="AN33" s="101" t="s">
        <v>207</v>
      </c>
      <c r="AO33" s="101"/>
      <c r="AP33" s="101"/>
      <c r="AQ33" s="101"/>
      <c r="AR33" s="72"/>
      <c r="AS33" s="96"/>
      <c r="AT33" s="96"/>
      <c r="AU33" s="96"/>
      <c r="AV33" s="96"/>
      <c r="AW33" s="96"/>
      <c r="AX33" s="96"/>
      <c r="AY33" s="96"/>
      <c r="AZ33" s="96"/>
      <c r="BA33" s="96"/>
      <c r="BB33" s="96"/>
      <c r="BC33" s="96"/>
      <c r="BD33" s="96"/>
      <c r="BE33" s="96"/>
      <c r="BF33" s="96"/>
      <c r="BG33" s="96"/>
      <c r="BH33" s="96"/>
      <c r="BI33" s="96"/>
      <c r="BJ33" s="96"/>
      <c r="BK33" s="96"/>
      <c r="BL33" s="96"/>
      <c r="BM33" s="96"/>
      <c r="BN33" s="96"/>
      <c r="BO33" s="96"/>
      <c r="BP33" s="96"/>
      <c r="BQ33" s="96"/>
      <c r="BR33" s="96"/>
      <c r="BS33" s="96"/>
      <c r="BT33" s="96"/>
      <c r="BU33" s="96"/>
      <c r="BV33" s="96"/>
      <c r="BW33" s="96"/>
      <c r="BX33" s="96"/>
      <c r="BY33" s="96"/>
      <c r="BZ33" s="96"/>
      <c r="CA33" s="96"/>
      <c r="CB33" s="96"/>
      <c r="CC33" s="96"/>
      <c r="CD33" s="96"/>
      <c r="CE33" s="96"/>
      <c r="CF33" s="96"/>
      <c r="CG33" s="96"/>
      <c r="CH33" s="96"/>
      <c r="CI33" s="96"/>
      <c r="CJ33" s="96"/>
      <c r="CK33" s="96"/>
      <c r="CL33" s="96"/>
      <c r="CM33" s="96"/>
      <c r="CN33" s="96"/>
      <c r="CO33" s="96"/>
    </row>
    <row r="34" spans="1:93" ht="8.15" customHeight="1" x14ac:dyDescent="0.35">
      <c r="A34" s="38"/>
      <c r="B34" s="38"/>
      <c r="C34" s="38"/>
      <c r="D34" s="38"/>
      <c r="E34" s="38"/>
      <c r="F34" s="38"/>
      <c r="G34" s="38"/>
      <c r="H34" s="38"/>
      <c r="I34" s="38"/>
      <c r="J34" s="38"/>
      <c r="K34" s="38"/>
      <c r="L34" s="38"/>
      <c r="M34" s="38"/>
      <c r="N34" s="38"/>
      <c r="O34" s="38"/>
      <c r="P34" s="38"/>
      <c r="Q34" s="38"/>
      <c r="R34" s="38"/>
      <c r="S34" s="38"/>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40"/>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c r="BW34" s="41"/>
      <c r="BX34" s="41"/>
      <c r="BY34" s="41"/>
      <c r="BZ34" s="41"/>
      <c r="CA34" s="41"/>
      <c r="CB34" s="41"/>
      <c r="CC34" s="41"/>
      <c r="CD34" s="41"/>
      <c r="CE34" s="41"/>
      <c r="CF34" s="41"/>
      <c r="CG34" s="41"/>
      <c r="CH34" s="41"/>
      <c r="CI34" s="41"/>
      <c r="CJ34" s="41"/>
      <c r="CK34" s="41"/>
      <c r="CL34" s="41"/>
      <c r="CM34" s="41"/>
      <c r="CN34" s="41"/>
      <c r="CO34" s="41"/>
    </row>
    <row r="35" spans="1:93" ht="16" customHeight="1" x14ac:dyDescent="0.35">
      <c r="A35" s="8" t="s">
        <v>249</v>
      </c>
      <c r="B35" s="8"/>
      <c r="C35" s="8"/>
      <c r="D35" s="8"/>
      <c r="E35" s="8"/>
      <c r="F35" s="8"/>
      <c r="G35" s="8"/>
      <c r="H35" s="8"/>
      <c r="I35" s="8"/>
      <c r="J35" s="8"/>
      <c r="K35" s="8"/>
      <c r="L35" s="8"/>
      <c r="M35" s="8"/>
      <c r="N35" s="8"/>
      <c r="O35" s="8"/>
      <c r="P35" s="8"/>
      <c r="Q35" s="103" t="s">
        <v>26</v>
      </c>
      <c r="R35" s="103"/>
      <c r="S35" s="103"/>
      <c r="T35" s="103"/>
      <c r="U35" s="103"/>
      <c r="V35" s="103"/>
      <c r="W35" s="103"/>
      <c r="Z35" s="39"/>
      <c r="AA35" s="8" t="s">
        <v>250</v>
      </c>
      <c r="AB35" s="39"/>
      <c r="AC35" s="39"/>
      <c r="AD35" s="39"/>
      <c r="AE35" s="39"/>
      <c r="AF35" s="39"/>
      <c r="AG35" s="39"/>
      <c r="AH35" s="39"/>
      <c r="AI35" s="39"/>
      <c r="AJ35" s="39"/>
      <c r="AK35" s="39"/>
      <c r="AL35" s="39"/>
      <c r="AM35" s="39"/>
      <c r="AN35" s="39"/>
      <c r="AO35" s="39"/>
      <c r="AP35" s="39"/>
      <c r="AQ35" s="39"/>
      <c r="AR35" s="40"/>
      <c r="AS35" s="41"/>
      <c r="AT35" s="103" t="s">
        <v>37</v>
      </c>
      <c r="AU35" s="103"/>
      <c r="AV35" s="103"/>
      <c r="AW35" s="103"/>
      <c r="AX35" s="103"/>
      <c r="AY35" s="103"/>
      <c r="AZ35" s="41"/>
      <c r="BA35" s="41"/>
      <c r="BB35" s="41"/>
      <c r="BC35" s="104" t="s">
        <v>251</v>
      </c>
      <c r="BD35" s="104"/>
      <c r="BE35" s="74" t="s">
        <v>39</v>
      </c>
      <c r="BF35" s="74"/>
      <c r="BG35" s="74"/>
      <c r="BH35" s="74"/>
      <c r="BI35" s="74"/>
      <c r="BJ35" s="42" t="s">
        <v>113</v>
      </c>
      <c r="BK35" s="41"/>
      <c r="BL35" s="41"/>
      <c r="BQ35" s="105" t="s">
        <v>207</v>
      </c>
      <c r="BR35" s="105"/>
      <c r="BS35" s="105"/>
      <c r="BT35" s="105"/>
      <c r="BU35" s="105"/>
      <c r="BV35" s="105"/>
      <c r="BW35" s="105"/>
      <c r="BX35" s="105"/>
      <c r="BY35" s="105"/>
      <c r="BZ35" s="105"/>
      <c r="CA35" s="105"/>
      <c r="CB35" s="105"/>
      <c r="CC35" s="105"/>
      <c r="CD35" s="105"/>
      <c r="CE35" s="105"/>
      <c r="CF35" s="105"/>
      <c r="CG35" s="105"/>
      <c r="CH35" s="105"/>
      <c r="CI35" s="105"/>
      <c r="CJ35" s="105"/>
      <c r="CK35" s="105"/>
      <c r="CL35" s="105"/>
      <c r="CM35" s="105"/>
      <c r="CN35" s="105"/>
      <c r="CO35" s="105"/>
    </row>
    <row r="36" spans="1:93" ht="8.15" customHeight="1" x14ac:dyDescent="0.35">
      <c r="A36" s="38"/>
      <c r="B36" s="38"/>
      <c r="C36" s="38"/>
      <c r="D36" s="38"/>
      <c r="E36" s="38"/>
      <c r="F36" s="38"/>
      <c r="G36" s="38"/>
      <c r="H36" s="38"/>
      <c r="I36" s="38"/>
      <c r="J36" s="38"/>
      <c r="K36" s="38"/>
      <c r="L36" s="38"/>
      <c r="M36" s="38"/>
      <c r="N36" s="38"/>
      <c r="O36" s="38"/>
      <c r="P36" s="38"/>
      <c r="Q36" s="38"/>
      <c r="R36" s="38"/>
      <c r="S36" s="38"/>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40"/>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41"/>
      <c r="CE36" s="41"/>
      <c r="CF36" s="41"/>
      <c r="CG36" s="41"/>
      <c r="CH36" s="41"/>
      <c r="CI36" s="41"/>
      <c r="CJ36" s="41"/>
      <c r="CK36" s="41"/>
      <c r="CL36" s="41"/>
      <c r="CM36" s="41"/>
      <c r="CN36" s="41"/>
      <c r="CO36" s="41"/>
    </row>
    <row r="37" spans="1:93" ht="16" customHeight="1" x14ac:dyDescent="0.35">
      <c r="A37" s="102" t="s">
        <v>252</v>
      </c>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c r="BW37" s="41"/>
      <c r="BX37" s="41"/>
      <c r="BY37" s="41"/>
      <c r="BZ37" s="41"/>
      <c r="CA37" s="41"/>
      <c r="CB37" s="41"/>
      <c r="CC37" s="41"/>
      <c r="CD37" s="41"/>
      <c r="CE37" s="41"/>
      <c r="CF37" s="41"/>
      <c r="CG37" s="41"/>
      <c r="CH37" s="41"/>
      <c r="CI37" s="41"/>
      <c r="CJ37" s="41"/>
      <c r="CK37" s="41"/>
      <c r="CL37" s="41"/>
      <c r="CM37" s="41"/>
      <c r="CN37" s="41"/>
      <c r="CO37" s="41"/>
    </row>
    <row r="38" spans="1:93" ht="4" customHeight="1" x14ac:dyDescent="0.35">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1"/>
      <c r="BZ38" s="41"/>
      <c r="CA38" s="41"/>
      <c r="CB38" s="41"/>
      <c r="CC38" s="41"/>
      <c r="CD38" s="41"/>
      <c r="CE38" s="41"/>
      <c r="CF38" s="41"/>
      <c r="CG38" s="41"/>
      <c r="CH38" s="41"/>
      <c r="CI38" s="41"/>
      <c r="CJ38" s="41"/>
      <c r="CK38" s="41"/>
      <c r="CL38" s="41"/>
      <c r="CM38" s="41"/>
      <c r="CN38" s="41"/>
      <c r="CO38" s="41"/>
    </row>
    <row r="39" spans="1:93" ht="16" customHeight="1" x14ac:dyDescent="0.35">
      <c r="A39" s="95" t="s">
        <v>253</v>
      </c>
      <c r="B39" s="95"/>
      <c r="C39" s="95"/>
      <c r="D39" s="95"/>
      <c r="E39" s="95"/>
      <c r="F39" s="95"/>
      <c r="G39" s="95"/>
      <c r="H39" s="95"/>
      <c r="I39" s="95"/>
      <c r="J39" s="95"/>
      <c r="K39" s="95"/>
      <c r="L39" s="95"/>
      <c r="M39" s="95"/>
      <c r="N39" s="95"/>
      <c r="O39" s="95"/>
      <c r="P39" s="95"/>
      <c r="Q39" s="95"/>
      <c r="R39" s="95"/>
      <c r="S39" s="95"/>
      <c r="T39" s="95"/>
      <c r="U39" s="95"/>
      <c r="V39" s="95"/>
      <c r="W39" s="95"/>
      <c r="X39" s="95"/>
      <c r="Y39" s="95"/>
      <c r="Z39" s="95"/>
      <c r="AA39" s="95"/>
      <c r="AB39" s="95"/>
      <c r="AC39" s="95"/>
      <c r="AD39" s="95"/>
      <c r="AE39" s="95"/>
      <c r="AF39" s="95"/>
      <c r="AG39" s="95"/>
      <c r="AH39" s="95"/>
      <c r="AI39" s="95"/>
      <c r="AJ39" s="95"/>
      <c r="AK39" s="95"/>
      <c r="AL39" s="95"/>
      <c r="AM39" s="95"/>
      <c r="AN39" s="95"/>
      <c r="AO39" s="95"/>
      <c r="AP39" s="95"/>
      <c r="AQ39" s="95"/>
      <c r="AR39" s="95"/>
      <c r="AS39" s="95"/>
      <c r="AT39" s="72" t="s">
        <v>254</v>
      </c>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row>
    <row r="40" spans="1:93" ht="16" customHeight="1" x14ac:dyDescent="0.35">
      <c r="A40" s="94" t="s">
        <v>255</v>
      </c>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73"/>
      <c r="AP40" s="73"/>
      <c r="AQ40" s="73"/>
      <c r="AR40" s="73"/>
      <c r="AS40" s="73"/>
      <c r="AT40" s="72" t="s">
        <v>254</v>
      </c>
      <c r="AU40" s="96"/>
      <c r="AV40" s="96"/>
      <c r="AW40" s="96"/>
      <c r="AX40" s="96"/>
      <c r="AY40" s="96"/>
      <c r="AZ40" s="96"/>
      <c r="BA40" s="96"/>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c r="CC40" s="73"/>
      <c r="CD40" s="73"/>
      <c r="CE40" s="73"/>
      <c r="CF40" s="73"/>
      <c r="CG40" s="73"/>
      <c r="CH40" s="73"/>
      <c r="CI40" s="73"/>
      <c r="CJ40" s="73"/>
      <c r="CK40" s="73"/>
      <c r="CL40" s="73"/>
      <c r="CM40" s="73"/>
      <c r="CN40" s="73"/>
      <c r="CO40" s="73"/>
    </row>
    <row r="41" spans="1:93" ht="16" customHeight="1" x14ac:dyDescent="0.35">
      <c r="A41" s="95" t="s">
        <v>256</v>
      </c>
      <c r="B41" s="95"/>
      <c r="C41" s="95"/>
      <c r="D41" s="95"/>
      <c r="E41" s="95"/>
      <c r="F41" s="95"/>
      <c r="G41" s="95"/>
      <c r="H41" s="95"/>
      <c r="I41" s="95"/>
      <c r="J41" s="95"/>
      <c r="K41" s="95"/>
      <c r="L41" s="95"/>
      <c r="M41" s="95"/>
      <c r="N41" s="95"/>
      <c r="O41" s="95"/>
      <c r="P41" s="95"/>
      <c r="Q41" s="95"/>
      <c r="R41" s="95"/>
      <c r="S41" s="95"/>
      <c r="T41" s="95"/>
      <c r="U41" s="95"/>
      <c r="V41" s="95"/>
      <c r="W41" s="95"/>
      <c r="X41" s="95"/>
      <c r="Y41" s="95"/>
      <c r="Z41" s="95"/>
      <c r="AA41" s="95"/>
      <c r="AB41" s="95"/>
      <c r="AC41" s="95"/>
      <c r="AD41" s="95"/>
      <c r="AE41" s="95"/>
      <c r="AF41" s="95"/>
      <c r="AG41" s="95"/>
      <c r="AH41" s="95"/>
      <c r="AI41" s="95"/>
      <c r="AJ41" s="95"/>
      <c r="AK41" s="95"/>
      <c r="AL41" s="95"/>
      <c r="AM41" s="95"/>
      <c r="AN41" s="95"/>
      <c r="AO41" s="73"/>
      <c r="AP41" s="73"/>
      <c r="AQ41" s="73"/>
      <c r="AR41" s="73"/>
      <c r="AS41" s="73"/>
      <c r="AT41" s="72" t="s">
        <v>257</v>
      </c>
      <c r="AU41" s="96"/>
      <c r="AV41" s="96"/>
      <c r="AW41" s="96"/>
      <c r="AX41" s="96"/>
      <c r="AY41" s="96"/>
      <c r="AZ41" s="96"/>
      <c r="BA41" s="96"/>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c r="CC41" s="73"/>
      <c r="CD41" s="73"/>
      <c r="CE41" s="73"/>
      <c r="CF41" s="73"/>
      <c r="CG41" s="73"/>
      <c r="CH41" s="73"/>
      <c r="CI41" s="73"/>
      <c r="CJ41" s="73"/>
      <c r="CK41" s="73"/>
      <c r="CL41" s="73"/>
      <c r="CM41" s="73"/>
      <c r="CN41" s="73"/>
      <c r="CO41" s="73"/>
    </row>
    <row r="42" spans="1:93" ht="8.15" customHeight="1" x14ac:dyDescent="0.35">
      <c r="A42" s="38"/>
      <c r="B42" s="38"/>
      <c r="C42" s="38"/>
      <c r="D42" s="38"/>
      <c r="E42" s="38"/>
      <c r="F42" s="38"/>
      <c r="G42" s="38"/>
      <c r="H42" s="38"/>
      <c r="I42" s="38"/>
      <c r="J42" s="38"/>
      <c r="K42" s="38"/>
      <c r="L42" s="38"/>
      <c r="M42" s="38"/>
      <c r="N42" s="38"/>
      <c r="O42" s="38"/>
      <c r="P42" s="38"/>
      <c r="Q42" s="38"/>
      <c r="R42" s="38"/>
      <c r="S42" s="38"/>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40"/>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1"/>
      <c r="BR42" s="41"/>
      <c r="BS42" s="41"/>
      <c r="BT42" s="41"/>
      <c r="BU42" s="41"/>
      <c r="BV42" s="41"/>
      <c r="BW42" s="41"/>
      <c r="BX42" s="41"/>
      <c r="BY42" s="41"/>
      <c r="BZ42" s="41"/>
      <c r="CA42" s="41"/>
      <c r="CB42" s="41"/>
      <c r="CC42" s="41"/>
      <c r="CD42" s="41"/>
      <c r="CE42" s="41"/>
      <c r="CF42" s="41"/>
      <c r="CG42" s="41"/>
      <c r="CH42" s="41"/>
      <c r="CI42" s="41"/>
      <c r="CJ42" s="41"/>
      <c r="CK42" s="41"/>
      <c r="CL42" s="41"/>
      <c r="CM42" s="41"/>
      <c r="CN42" s="41"/>
      <c r="CO42" s="41"/>
    </row>
    <row r="43" spans="1:93" ht="16" customHeight="1" x14ac:dyDescent="0.35">
      <c r="A43" s="102" t="s">
        <v>258</v>
      </c>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39"/>
      <c r="AF43" s="39"/>
      <c r="AG43" s="39"/>
      <c r="AH43" s="39"/>
      <c r="AI43" s="39"/>
      <c r="AJ43" s="39"/>
      <c r="AK43" s="39"/>
      <c r="AL43" s="39"/>
      <c r="AM43" s="39"/>
      <c r="AN43" s="39"/>
      <c r="AO43" s="39"/>
      <c r="AP43" s="39"/>
      <c r="AQ43" s="39"/>
      <c r="AR43" s="40"/>
      <c r="AS43" s="41"/>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1"/>
      <c r="BR43" s="41"/>
      <c r="BS43" s="41"/>
      <c r="BT43" s="41"/>
      <c r="BU43" s="41"/>
      <c r="BV43" s="41"/>
      <c r="BW43" s="41"/>
      <c r="BX43" s="41"/>
      <c r="BY43" s="41"/>
      <c r="BZ43" s="41"/>
      <c r="CA43" s="41"/>
      <c r="CB43" s="41"/>
      <c r="CC43" s="41"/>
      <c r="CD43" s="41"/>
      <c r="CE43" s="41"/>
      <c r="CF43" s="41"/>
      <c r="CG43" s="41"/>
      <c r="CH43" s="41"/>
      <c r="CI43" s="41"/>
      <c r="CJ43" s="41"/>
      <c r="CK43" s="41"/>
      <c r="CL43" s="41"/>
      <c r="CM43" s="41"/>
      <c r="CN43" s="41"/>
      <c r="CO43" s="41"/>
    </row>
    <row r="44" spans="1:93" ht="4" customHeight="1" x14ac:dyDescent="0.35">
      <c r="A44" s="38"/>
      <c r="B44" s="38"/>
      <c r="C44" s="38"/>
      <c r="D44" s="38"/>
      <c r="E44" s="38"/>
      <c r="F44" s="38"/>
      <c r="G44" s="38"/>
      <c r="H44" s="38"/>
      <c r="I44" s="38"/>
      <c r="J44" s="38"/>
      <c r="K44" s="38"/>
      <c r="L44" s="38"/>
      <c r="M44" s="38"/>
      <c r="N44" s="38"/>
      <c r="O44" s="38"/>
      <c r="P44" s="38"/>
      <c r="Q44" s="38"/>
      <c r="R44" s="38"/>
      <c r="S44" s="38"/>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40"/>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1"/>
      <c r="BR44" s="41"/>
      <c r="BS44" s="41"/>
      <c r="BT44" s="41"/>
      <c r="BU44" s="41"/>
      <c r="BV44" s="41"/>
      <c r="BW44" s="41"/>
      <c r="BX44" s="41"/>
      <c r="BY44" s="41"/>
      <c r="BZ44" s="41"/>
      <c r="CA44" s="41"/>
      <c r="CB44" s="41"/>
      <c r="CC44" s="41"/>
      <c r="CD44" s="41"/>
      <c r="CE44" s="41"/>
      <c r="CF44" s="41"/>
      <c r="CG44" s="41"/>
      <c r="CH44" s="41"/>
      <c r="CI44" s="41"/>
      <c r="CJ44" s="41"/>
      <c r="CK44" s="41"/>
      <c r="CL44" s="41"/>
      <c r="CM44" s="41"/>
      <c r="CN44" s="41"/>
      <c r="CO44" s="41"/>
    </row>
    <row r="45" spans="1:93" ht="16" customHeight="1" x14ac:dyDescent="0.35">
      <c r="A45" s="110" t="s">
        <v>259</v>
      </c>
      <c r="B45" s="111"/>
      <c r="C45" s="111"/>
      <c r="D45" s="111"/>
      <c r="E45" s="111"/>
      <c r="F45" s="111"/>
      <c r="G45" s="111"/>
      <c r="H45" s="111"/>
      <c r="I45" s="111"/>
      <c r="J45" s="111"/>
      <c r="K45" s="111"/>
      <c r="L45" s="111"/>
      <c r="M45" s="111"/>
      <c r="N45" s="111"/>
      <c r="O45" s="111"/>
      <c r="P45" s="111"/>
      <c r="Q45" s="111"/>
      <c r="R45" s="111"/>
      <c r="S45" s="111"/>
      <c r="T45" s="111"/>
      <c r="U45" s="110" t="s">
        <v>260</v>
      </c>
      <c r="V45" s="110"/>
      <c r="W45" s="110"/>
      <c r="X45" s="110"/>
      <c r="Y45" s="110"/>
      <c r="Z45" s="110"/>
      <c r="AA45" s="110"/>
      <c r="AB45" s="110"/>
      <c r="AC45" s="110"/>
      <c r="AD45" s="110"/>
      <c r="AE45" s="110"/>
      <c r="AF45" s="110"/>
      <c r="AG45" s="110"/>
      <c r="AH45" s="110"/>
      <c r="AI45" s="110"/>
      <c r="AJ45" s="110"/>
      <c r="AK45" s="110"/>
      <c r="AL45" s="110"/>
      <c r="AM45" s="110"/>
      <c r="AN45" s="110"/>
      <c r="AO45" s="110"/>
      <c r="AP45" s="110"/>
      <c r="AQ45" s="110"/>
      <c r="AR45" s="110"/>
      <c r="AS45" s="110"/>
      <c r="AT45" s="112" t="s">
        <v>261</v>
      </c>
      <c r="AU45" s="112"/>
      <c r="AV45" s="112"/>
      <c r="AW45" s="112"/>
      <c r="AX45" s="112"/>
      <c r="AY45" s="112"/>
      <c r="AZ45" s="112"/>
      <c r="BA45" s="112"/>
      <c r="BB45" s="112"/>
      <c r="BC45" s="112"/>
      <c r="BD45" s="112"/>
      <c r="BE45" s="112"/>
      <c r="BF45" s="112"/>
      <c r="BG45" s="112"/>
      <c r="BH45" s="112"/>
      <c r="BI45" s="112"/>
      <c r="BJ45" s="112"/>
      <c r="BK45" s="112"/>
      <c r="BL45" s="112"/>
      <c r="BM45" s="112"/>
      <c r="BN45" s="112"/>
      <c r="BO45" s="112"/>
      <c r="BP45" s="112" t="s">
        <v>262</v>
      </c>
      <c r="BQ45" s="112"/>
      <c r="BR45" s="112"/>
      <c r="BS45" s="112"/>
      <c r="BT45" s="112"/>
      <c r="BU45" s="112"/>
      <c r="BV45" s="112"/>
      <c r="BW45" s="112"/>
      <c r="BX45" s="112"/>
      <c r="BY45" s="112"/>
      <c r="BZ45" s="112"/>
      <c r="CA45" s="112"/>
      <c r="CB45" s="112"/>
      <c r="CC45" s="112"/>
      <c r="CD45" s="112"/>
      <c r="CE45" s="112"/>
      <c r="CF45" s="112"/>
      <c r="CG45" s="112"/>
      <c r="CH45" s="112"/>
      <c r="CI45" s="112"/>
      <c r="CJ45" s="112"/>
      <c r="CK45" s="112"/>
      <c r="CL45" s="112"/>
      <c r="CM45" s="112"/>
      <c r="CN45" s="112"/>
      <c r="CO45" s="112"/>
    </row>
    <row r="46" spans="1:93" ht="16" customHeight="1" x14ac:dyDescent="0.35">
      <c r="A46" s="95" t="s">
        <v>263</v>
      </c>
      <c r="B46" s="73"/>
      <c r="C46" s="73"/>
      <c r="D46" s="73"/>
      <c r="E46" s="73"/>
      <c r="F46" s="73"/>
      <c r="G46" s="73"/>
      <c r="H46" s="73"/>
      <c r="I46" s="73"/>
      <c r="J46" s="73"/>
      <c r="K46" s="73"/>
      <c r="L46" s="73"/>
      <c r="M46" s="73"/>
      <c r="N46" s="73"/>
      <c r="O46" s="73"/>
      <c r="P46" s="73"/>
      <c r="Q46" s="73"/>
      <c r="R46" s="73"/>
      <c r="S46" s="73"/>
      <c r="T46" s="73"/>
      <c r="U46" s="72">
        <f>AR31</f>
        <v>0</v>
      </c>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113"/>
      <c r="AU46" s="113"/>
      <c r="AV46" s="113"/>
      <c r="AW46" s="113"/>
      <c r="AX46" s="113"/>
      <c r="AY46" s="113"/>
      <c r="AZ46" s="113"/>
      <c r="BA46" s="113"/>
      <c r="BB46" s="113"/>
      <c r="BC46" s="113"/>
      <c r="BD46" s="113"/>
      <c r="BE46" s="113"/>
      <c r="BF46" s="113"/>
      <c r="BG46" s="113"/>
      <c r="BH46" s="113"/>
      <c r="BI46" s="113"/>
      <c r="BJ46" s="113"/>
      <c r="BK46" s="113"/>
      <c r="BL46" s="113"/>
      <c r="BM46" s="113"/>
      <c r="BN46" s="113"/>
      <c r="BO46" s="113"/>
      <c r="BP46" s="114"/>
      <c r="BQ46" s="115"/>
      <c r="BR46" s="115"/>
      <c r="BS46" s="115"/>
      <c r="BT46" s="115"/>
      <c r="BU46" s="115"/>
      <c r="BV46" s="115"/>
      <c r="BW46" s="115"/>
      <c r="BX46" s="115"/>
      <c r="BY46" s="115"/>
      <c r="BZ46" s="115"/>
      <c r="CA46" s="115"/>
      <c r="CB46" s="115"/>
      <c r="CC46" s="115"/>
      <c r="CD46" s="115"/>
      <c r="CE46" s="115"/>
      <c r="CF46" s="115"/>
      <c r="CG46" s="115"/>
      <c r="CH46" s="115"/>
      <c r="CI46" s="115"/>
      <c r="CJ46" s="115"/>
      <c r="CK46" s="115"/>
      <c r="CL46" s="115"/>
      <c r="CM46" s="115"/>
      <c r="CN46" s="115"/>
      <c r="CO46" s="116"/>
    </row>
    <row r="47" spans="1:93" ht="16" customHeight="1" x14ac:dyDescent="0.35">
      <c r="A47" s="95" t="s">
        <v>264</v>
      </c>
      <c r="B47" s="95"/>
      <c r="C47" s="95"/>
      <c r="D47" s="95"/>
      <c r="E47" s="95"/>
      <c r="F47" s="95"/>
      <c r="G47" s="95"/>
      <c r="H47" s="95"/>
      <c r="I47" s="95"/>
      <c r="J47" s="95"/>
      <c r="K47" s="95"/>
      <c r="L47" s="95"/>
      <c r="M47" s="95"/>
      <c r="N47" s="95"/>
      <c r="O47" s="95"/>
      <c r="P47" s="95"/>
      <c r="Q47" s="95"/>
      <c r="R47" s="95"/>
      <c r="S47" s="95"/>
      <c r="T47" s="95"/>
      <c r="U47" s="106" t="str">
        <f>AR32</f>
        <v>(11kV/√3)/ (110/√3) V</v>
      </c>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72" t="s">
        <v>299</v>
      </c>
      <c r="AU47" s="72"/>
      <c r="AV47" s="72"/>
      <c r="AW47" s="72"/>
      <c r="AX47" s="72"/>
      <c r="AY47" s="72"/>
      <c r="AZ47" s="72"/>
      <c r="BA47" s="72"/>
      <c r="BB47" s="72"/>
      <c r="BC47" s="72"/>
      <c r="BD47" s="72"/>
      <c r="BE47" s="72"/>
      <c r="BF47" s="72"/>
      <c r="BG47" s="72"/>
      <c r="BH47" s="72"/>
      <c r="BI47" s="72"/>
      <c r="BJ47" s="72"/>
      <c r="BK47" s="72"/>
      <c r="BL47" s="72"/>
      <c r="BM47" s="72"/>
      <c r="BN47" s="72"/>
      <c r="BO47" s="72"/>
      <c r="BP47" s="107" t="s">
        <v>265</v>
      </c>
      <c r="BQ47" s="108"/>
      <c r="BR47" s="108"/>
      <c r="BS47" s="108"/>
      <c r="BT47" s="108"/>
      <c r="BU47" s="108"/>
      <c r="BV47" s="108"/>
      <c r="BW47" s="108"/>
      <c r="BX47" s="108"/>
      <c r="BY47" s="108"/>
      <c r="BZ47" s="108"/>
      <c r="CA47" s="108"/>
      <c r="CB47" s="108"/>
      <c r="CC47" s="108"/>
      <c r="CD47" s="108"/>
      <c r="CE47" s="108"/>
      <c r="CF47" s="108"/>
      <c r="CG47" s="108"/>
      <c r="CH47" s="108"/>
      <c r="CI47" s="108"/>
      <c r="CJ47" s="108"/>
      <c r="CK47" s="108"/>
      <c r="CL47" s="108"/>
      <c r="CM47" s="108"/>
      <c r="CN47" s="108"/>
      <c r="CO47" s="109"/>
    </row>
    <row r="48" spans="1:93" ht="8.15" customHeight="1" x14ac:dyDescent="0.35">
      <c r="A48" s="38"/>
      <c r="B48" s="38"/>
      <c r="C48" s="38"/>
      <c r="D48" s="38"/>
      <c r="E48" s="38"/>
      <c r="F48" s="38"/>
      <c r="G48" s="38"/>
      <c r="H48" s="38"/>
      <c r="I48" s="38"/>
      <c r="J48" s="38"/>
      <c r="K48" s="38"/>
      <c r="L48" s="38"/>
      <c r="M48" s="38"/>
      <c r="N48" s="38"/>
      <c r="O48" s="38"/>
      <c r="P48" s="38"/>
      <c r="Q48" s="38"/>
      <c r="R48" s="38"/>
      <c r="S48" s="38"/>
      <c r="T48" s="39"/>
      <c r="U48" s="43"/>
      <c r="V48" s="39"/>
      <c r="W48" s="39"/>
      <c r="X48" s="39"/>
      <c r="Y48" s="39"/>
      <c r="Z48" s="39"/>
      <c r="AA48" s="39"/>
      <c r="AB48" s="39"/>
      <c r="AC48" s="39"/>
      <c r="AD48" s="39"/>
      <c r="AE48" s="39"/>
      <c r="AF48" s="39"/>
      <c r="AG48" s="39"/>
      <c r="AH48" s="39"/>
      <c r="AI48" s="39"/>
      <c r="AJ48" s="39"/>
      <c r="AK48" s="39"/>
      <c r="AL48" s="39"/>
      <c r="AM48" s="39"/>
      <c r="AN48" s="39"/>
      <c r="AO48" s="39"/>
      <c r="AP48" s="39"/>
      <c r="AQ48" s="39"/>
      <c r="AR48" s="40"/>
      <c r="AS48" s="41"/>
      <c r="AT48" s="41"/>
      <c r="AU48" s="41"/>
      <c r="AV48" s="41"/>
      <c r="AW48" s="41"/>
      <c r="AX48" s="41"/>
      <c r="AY48" s="41"/>
      <c r="AZ48" s="41"/>
      <c r="BA48" s="41"/>
      <c r="BB48" s="41"/>
      <c r="BC48" s="41"/>
      <c r="BD48" s="41"/>
      <c r="BE48" s="41"/>
      <c r="BF48" s="41"/>
      <c r="BG48" s="41"/>
      <c r="BH48" s="41"/>
      <c r="BI48" s="41"/>
      <c r="BJ48" s="41"/>
      <c r="BK48" s="41"/>
      <c r="BL48" s="41"/>
      <c r="BM48" s="41"/>
      <c r="BN48" s="41"/>
      <c r="BO48" s="41"/>
      <c r="BP48" s="41"/>
      <c r="BQ48" s="41"/>
      <c r="BR48" s="41"/>
      <c r="BS48" s="41"/>
      <c r="BT48" s="41"/>
      <c r="BU48" s="41"/>
      <c r="BV48" s="41"/>
      <c r="BW48" s="41"/>
      <c r="BX48" s="41"/>
      <c r="BY48" s="41"/>
      <c r="BZ48" s="41"/>
      <c r="CA48" s="41"/>
      <c r="CB48" s="41"/>
      <c r="CC48" s="41"/>
      <c r="CD48" s="41"/>
      <c r="CE48" s="41"/>
      <c r="CF48" s="41"/>
      <c r="CG48" s="41"/>
      <c r="CH48" s="41"/>
      <c r="CI48" s="41"/>
      <c r="CJ48" s="41"/>
      <c r="CK48" s="41"/>
      <c r="CL48" s="41"/>
      <c r="CM48" s="41"/>
      <c r="CN48" s="41"/>
      <c r="CO48" s="41"/>
    </row>
    <row r="49" spans="1:93" ht="16" customHeight="1" x14ac:dyDescent="0.35">
      <c r="A49" s="102" t="s">
        <v>266</v>
      </c>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39"/>
      <c r="AF49" s="39"/>
      <c r="AG49" s="39"/>
      <c r="AH49" s="39"/>
      <c r="AI49" s="39"/>
      <c r="AJ49" s="39"/>
      <c r="AK49" s="39"/>
      <c r="AL49" s="39"/>
      <c r="AM49" s="39"/>
      <c r="AN49" s="39"/>
      <c r="AO49" s="39"/>
      <c r="AP49" s="39"/>
      <c r="AQ49" s="39"/>
      <c r="AR49" s="40"/>
      <c r="AS49" s="41"/>
      <c r="AT49" s="41"/>
      <c r="AU49" s="77" t="s">
        <v>267</v>
      </c>
      <c r="AV49" s="77"/>
      <c r="AW49" s="77"/>
      <c r="AX49" s="77"/>
      <c r="AY49" s="77"/>
      <c r="AZ49" s="77"/>
      <c r="BA49" s="77"/>
      <c r="BB49" s="77"/>
      <c r="BC49" s="77"/>
      <c r="BD49" s="77"/>
      <c r="BE49" s="77"/>
      <c r="BF49" s="77"/>
      <c r="BG49" s="77"/>
      <c r="BH49" s="77"/>
      <c r="BI49" s="77"/>
      <c r="BJ49" s="77"/>
      <c r="BK49" s="77"/>
      <c r="BL49" s="77"/>
      <c r="BM49" s="77"/>
      <c r="BN49" s="77"/>
      <c r="BO49" s="77"/>
      <c r="BP49" s="77"/>
      <c r="BQ49" s="77"/>
      <c r="BR49" s="77"/>
      <c r="BS49" s="77"/>
      <c r="BT49" s="77"/>
      <c r="BU49" s="77"/>
      <c r="BV49" s="77"/>
      <c r="BW49" s="77"/>
      <c r="BX49" s="77"/>
      <c r="BY49" s="77"/>
      <c r="BZ49" s="77"/>
      <c r="CA49" s="77"/>
      <c r="CB49" s="77"/>
      <c r="CC49" s="77"/>
      <c r="CD49" s="77"/>
      <c r="CE49" s="77"/>
      <c r="CF49" s="77"/>
      <c r="CG49" s="77"/>
      <c r="CH49" s="77"/>
      <c r="CI49" s="77"/>
      <c r="CJ49" s="77"/>
      <c r="CK49" s="77"/>
      <c r="CL49" s="77"/>
      <c r="CM49" s="77"/>
      <c r="CN49" s="77"/>
      <c r="CO49" s="77"/>
    </row>
    <row r="50" spans="1:93" ht="4" customHeight="1" x14ac:dyDescent="0.35">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9"/>
      <c r="AA50" s="39"/>
      <c r="AB50" s="39"/>
      <c r="AC50" s="39"/>
      <c r="AD50" s="39"/>
      <c r="AE50" s="39"/>
      <c r="AF50" s="39"/>
      <c r="AG50" s="39"/>
      <c r="AH50" s="39"/>
      <c r="AI50" s="39"/>
      <c r="AJ50" s="39"/>
      <c r="AK50" s="39"/>
      <c r="AL50" s="39"/>
      <c r="AM50" s="39"/>
      <c r="AN50" s="39"/>
      <c r="AO50" s="39"/>
      <c r="AP50" s="39"/>
      <c r="AQ50" s="39"/>
      <c r="AR50" s="40"/>
      <c r="AS50" s="41"/>
      <c r="AT50" s="41"/>
      <c r="AU50" s="41"/>
      <c r="AV50" s="41"/>
      <c r="AW50" s="41"/>
      <c r="AX50" s="41"/>
      <c r="AY50" s="41"/>
      <c r="AZ50" s="41"/>
      <c r="BA50" s="41"/>
      <c r="BB50" s="41"/>
      <c r="BC50" s="41"/>
      <c r="BD50" s="41"/>
      <c r="BE50" s="41"/>
      <c r="BF50" s="41"/>
      <c r="BG50" s="41"/>
      <c r="BH50" s="41"/>
      <c r="BI50" s="41"/>
      <c r="BJ50" s="41"/>
      <c r="BK50" s="41"/>
      <c r="BL50" s="41"/>
      <c r="BM50" s="41"/>
      <c r="BN50" s="41"/>
      <c r="BO50" s="41"/>
      <c r="BP50" s="41"/>
      <c r="BQ50" s="41"/>
      <c r="BR50" s="41"/>
      <c r="BS50" s="41"/>
      <c r="BT50" s="41"/>
      <c r="BU50" s="41"/>
      <c r="BV50" s="41"/>
      <c r="BW50" s="41"/>
      <c r="BX50" s="41"/>
      <c r="BY50" s="41"/>
      <c r="BZ50" s="41"/>
      <c r="CA50" s="41"/>
      <c r="CB50" s="41"/>
      <c r="CC50" s="41"/>
      <c r="CD50" s="41"/>
      <c r="CE50" s="41"/>
      <c r="CF50" s="41"/>
      <c r="CG50" s="41"/>
      <c r="CH50" s="41"/>
      <c r="CI50" s="41"/>
      <c r="CJ50" s="41"/>
      <c r="CK50" s="41"/>
      <c r="CL50" s="41"/>
      <c r="CM50" s="41"/>
      <c r="CN50" s="41"/>
      <c r="CO50" s="41"/>
    </row>
    <row r="51" spans="1:93" ht="16" customHeight="1" x14ac:dyDescent="0.35">
      <c r="A51" s="110" t="s">
        <v>259</v>
      </c>
      <c r="B51" s="110"/>
      <c r="C51" s="110"/>
      <c r="D51" s="110"/>
      <c r="E51" s="110"/>
      <c r="F51" s="110"/>
      <c r="G51" s="110"/>
      <c r="H51" s="110"/>
      <c r="I51" s="110"/>
      <c r="J51" s="110"/>
      <c r="K51" s="110"/>
      <c r="L51" s="110"/>
      <c r="M51" s="110"/>
      <c r="N51" s="110"/>
      <c r="O51" s="110"/>
      <c r="P51" s="110" t="s">
        <v>268</v>
      </c>
      <c r="Q51" s="110"/>
      <c r="R51" s="110"/>
      <c r="S51" s="110"/>
      <c r="T51" s="110"/>
      <c r="U51" s="110"/>
      <c r="V51" s="110"/>
      <c r="W51" s="110"/>
      <c r="X51" s="110"/>
      <c r="Y51" s="110"/>
      <c r="Z51" s="110"/>
      <c r="AA51" s="110"/>
      <c r="AB51" s="110"/>
      <c r="AC51" s="110"/>
      <c r="AD51" s="110"/>
      <c r="AE51" s="110" t="s">
        <v>269</v>
      </c>
      <c r="AF51" s="110"/>
      <c r="AG51" s="110"/>
      <c r="AH51" s="110"/>
      <c r="AI51" s="110"/>
      <c r="AJ51" s="110"/>
      <c r="AK51" s="110"/>
      <c r="AL51" s="110"/>
      <c r="AM51" s="110"/>
      <c r="AN51" s="110"/>
      <c r="AO51" s="110"/>
      <c r="AP51" s="110"/>
      <c r="AQ51" s="110"/>
      <c r="AR51" s="110"/>
      <c r="AS51" s="110"/>
      <c r="AT51" s="41"/>
      <c r="AU51" s="95" t="s">
        <v>102</v>
      </c>
      <c r="AV51" s="95"/>
      <c r="AW51" s="95"/>
      <c r="AX51" s="95"/>
      <c r="AY51" s="95"/>
      <c r="AZ51" s="95"/>
      <c r="BA51" s="95"/>
      <c r="BB51" s="95"/>
      <c r="BC51" s="95"/>
      <c r="BD51" s="95"/>
      <c r="BE51" s="95"/>
      <c r="BF51" s="95"/>
      <c r="BG51" s="95"/>
      <c r="BH51" s="95"/>
      <c r="BI51" s="95"/>
      <c r="BJ51" s="95"/>
      <c r="BK51" s="95"/>
      <c r="BL51" s="95"/>
      <c r="BM51" s="95"/>
      <c r="BN51" s="72"/>
      <c r="BO51" s="72"/>
      <c r="BP51" s="72"/>
      <c r="BQ51" s="72"/>
      <c r="BR51" s="72"/>
      <c r="BS51" s="72"/>
      <c r="BT51" s="72"/>
      <c r="BU51" s="72"/>
      <c r="BV51" s="72"/>
      <c r="BW51" s="72"/>
      <c r="BX51" s="72"/>
      <c r="BY51" s="72"/>
      <c r="BZ51" s="72"/>
      <c r="CA51" s="72"/>
      <c r="CB51" s="72"/>
      <c r="CC51" s="72"/>
      <c r="CD51" s="72"/>
      <c r="CE51" s="72"/>
      <c r="CF51" s="72"/>
      <c r="CG51" s="72"/>
      <c r="CH51" s="72"/>
      <c r="CI51" s="72"/>
      <c r="CJ51" s="72"/>
      <c r="CK51" s="72"/>
      <c r="CL51" s="72"/>
      <c r="CM51" s="72"/>
      <c r="CN51" s="72"/>
      <c r="CO51" s="72"/>
    </row>
    <row r="52" spans="1:93" ht="16" customHeight="1" x14ac:dyDescent="0.35">
      <c r="A52" s="95" t="s">
        <v>102</v>
      </c>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41"/>
      <c r="AU52" s="95" t="s">
        <v>270</v>
      </c>
      <c r="AV52" s="95"/>
      <c r="AW52" s="95"/>
      <c r="AX52" s="95"/>
      <c r="AY52" s="95"/>
      <c r="AZ52" s="95"/>
      <c r="BA52" s="95"/>
      <c r="BB52" s="95"/>
      <c r="BC52" s="95"/>
      <c r="BD52" s="95"/>
      <c r="BE52" s="95"/>
      <c r="BF52" s="95"/>
      <c r="BG52" s="95"/>
      <c r="BH52" s="95"/>
      <c r="BI52" s="95"/>
      <c r="BJ52" s="95"/>
      <c r="BK52" s="95"/>
      <c r="BL52" s="95"/>
      <c r="BM52" s="95"/>
      <c r="BN52" s="72"/>
      <c r="BO52" s="72"/>
      <c r="BP52" s="72"/>
      <c r="BQ52" s="72"/>
      <c r="BR52" s="72"/>
      <c r="BS52" s="72"/>
      <c r="BT52" s="72"/>
      <c r="BU52" s="72"/>
      <c r="BV52" s="72"/>
      <c r="BW52" s="72"/>
      <c r="BX52" s="72"/>
      <c r="BY52" s="72"/>
      <c r="BZ52" s="72"/>
      <c r="CA52" s="72"/>
      <c r="CB52" s="72"/>
      <c r="CC52" s="72"/>
      <c r="CD52" s="72"/>
      <c r="CE52" s="72"/>
      <c r="CF52" s="72"/>
      <c r="CG52" s="72"/>
      <c r="CH52" s="72"/>
      <c r="CI52" s="72"/>
      <c r="CJ52" s="72"/>
      <c r="CK52" s="72"/>
      <c r="CL52" s="72"/>
      <c r="CM52" s="72"/>
      <c r="CN52" s="72"/>
      <c r="CO52" s="72"/>
    </row>
    <row r="53" spans="1:93" ht="16" customHeight="1" x14ac:dyDescent="0.35">
      <c r="A53" s="95" t="s">
        <v>184</v>
      </c>
      <c r="B53" s="72"/>
      <c r="C53" s="72"/>
      <c r="D53" s="72"/>
      <c r="E53" s="72"/>
      <c r="F53" s="72"/>
      <c r="G53" s="72"/>
      <c r="H53" s="72"/>
      <c r="I53" s="72"/>
      <c r="J53" s="72"/>
      <c r="K53" s="72"/>
      <c r="L53" s="72"/>
      <c r="M53" s="72"/>
      <c r="N53" s="72"/>
      <c r="O53" s="72"/>
      <c r="P53" s="72" t="s">
        <v>294</v>
      </c>
      <c r="Q53" s="72"/>
      <c r="R53" s="72"/>
      <c r="S53" s="72"/>
      <c r="T53" s="72"/>
      <c r="U53" s="72"/>
      <c r="V53" s="72"/>
      <c r="W53" s="72"/>
      <c r="X53" s="72"/>
      <c r="Y53" s="72"/>
      <c r="Z53" s="72"/>
      <c r="AA53" s="72"/>
      <c r="AB53" s="72"/>
      <c r="AC53" s="72"/>
      <c r="AD53" s="72"/>
      <c r="AE53" s="72" t="s">
        <v>294</v>
      </c>
      <c r="AF53" s="72"/>
      <c r="AG53" s="72"/>
      <c r="AH53" s="72"/>
      <c r="AI53" s="72"/>
      <c r="AJ53" s="72"/>
      <c r="AK53" s="72"/>
      <c r="AL53" s="72"/>
      <c r="AM53" s="72"/>
      <c r="AN53" s="72"/>
      <c r="AO53" s="72"/>
      <c r="AP53" s="72"/>
      <c r="AQ53" s="72"/>
      <c r="AR53" s="72"/>
      <c r="AS53" s="72"/>
      <c r="AT53" s="41"/>
      <c r="AU53" s="77" t="s">
        <v>271</v>
      </c>
      <c r="AV53" s="77"/>
      <c r="AW53" s="77"/>
      <c r="AX53" s="77"/>
      <c r="AY53" s="77"/>
      <c r="AZ53" s="77"/>
      <c r="BA53" s="77"/>
      <c r="BB53" s="77"/>
      <c r="BC53" s="77"/>
      <c r="BD53" s="77"/>
      <c r="BE53" s="77"/>
      <c r="BF53" s="77"/>
      <c r="BG53" s="77"/>
      <c r="BH53" s="77"/>
      <c r="BI53" s="77"/>
      <c r="BJ53" s="77"/>
      <c r="BK53" s="77"/>
      <c r="BL53" s="77"/>
      <c r="BM53" s="77"/>
      <c r="BN53" s="77"/>
      <c r="BO53" s="77"/>
      <c r="BP53" s="77"/>
      <c r="BQ53" s="77"/>
      <c r="BR53" s="77"/>
      <c r="BS53" s="77"/>
      <c r="BT53" s="77"/>
      <c r="BU53" s="77"/>
      <c r="BV53" s="77"/>
      <c r="BW53" s="77"/>
      <c r="BX53" s="77"/>
      <c r="BY53" s="77"/>
      <c r="BZ53" s="77"/>
      <c r="CA53" s="77"/>
      <c r="CB53" s="77"/>
      <c r="CC53" s="77"/>
      <c r="CD53" s="77"/>
      <c r="CE53" s="77"/>
      <c r="CF53" s="77"/>
      <c r="CG53" s="77"/>
      <c r="CH53" s="77"/>
      <c r="CI53" s="77"/>
      <c r="CJ53" s="77"/>
      <c r="CK53" s="77"/>
      <c r="CL53" s="77"/>
      <c r="CM53" s="77"/>
      <c r="CN53" s="77"/>
      <c r="CO53" s="77"/>
    </row>
    <row r="54" spans="1:93" ht="16" customHeight="1" x14ac:dyDescent="0.35">
      <c r="A54" s="95" t="s">
        <v>104</v>
      </c>
      <c r="B54" s="72"/>
      <c r="C54" s="72"/>
      <c r="D54" s="72"/>
      <c r="E54" s="72"/>
      <c r="F54" s="72"/>
      <c r="G54" s="72"/>
      <c r="H54" s="72"/>
      <c r="I54" s="72"/>
      <c r="J54" s="72"/>
      <c r="K54" s="72"/>
      <c r="L54" s="72"/>
      <c r="M54" s="72"/>
      <c r="N54" s="72"/>
      <c r="O54" s="72"/>
      <c r="P54" s="72">
        <v>0.2</v>
      </c>
      <c r="Q54" s="72"/>
      <c r="R54" s="72"/>
      <c r="S54" s="72"/>
      <c r="T54" s="72"/>
      <c r="U54" s="72"/>
      <c r="V54" s="72"/>
      <c r="W54" s="72"/>
      <c r="X54" s="72"/>
      <c r="Y54" s="72"/>
      <c r="Z54" s="72"/>
      <c r="AA54" s="72"/>
      <c r="AB54" s="72"/>
      <c r="AC54" s="72"/>
      <c r="AD54" s="72"/>
      <c r="AE54" s="72">
        <v>0.2</v>
      </c>
      <c r="AF54" s="72"/>
      <c r="AG54" s="72"/>
      <c r="AH54" s="72"/>
      <c r="AI54" s="72"/>
      <c r="AJ54" s="72"/>
      <c r="AK54" s="72"/>
      <c r="AL54" s="72"/>
      <c r="AM54" s="72"/>
      <c r="AN54" s="72"/>
      <c r="AO54" s="72"/>
      <c r="AP54" s="72"/>
      <c r="AQ54" s="72"/>
      <c r="AR54" s="72"/>
      <c r="AS54" s="72"/>
      <c r="AT54" s="41"/>
      <c r="AU54" s="95" t="s">
        <v>102</v>
      </c>
      <c r="AV54" s="95"/>
      <c r="AW54" s="95"/>
      <c r="AX54" s="95"/>
      <c r="AY54" s="95"/>
      <c r="AZ54" s="95"/>
      <c r="BA54" s="95"/>
      <c r="BB54" s="95"/>
      <c r="BC54" s="95"/>
      <c r="BD54" s="95"/>
      <c r="BE54" s="95"/>
      <c r="BF54" s="95"/>
      <c r="BG54" s="95"/>
      <c r="BH54" s="95"/>
      <c r="BI54" s="95"/>
      <c r="BJ54" s="95"/>
      <c r="BK54" s="95"/>
      <c r="BL54" s="95"/>
      <c r="BM54" s="95"/>
      <c r="BN54" s="72"/>
      <c r="BO54" s="72"/>
      <c r="BP54" s="72"/>
      <c r="BQ54" s="72"/>
      <c r="BR54" s="72"/>
      <c r="BS54" s="72"/>
      <c r="BT54" s="72"/>
      <c r="BU54" s="72"/>
      <c r="BV54" s="72"/>
      <c r="BW54" s="72"/>
      <c r="BX54" s="72"/>
      <c r="BY54" s="72"/>
      <c r="BZ54" s="72"/>
      <c r="CA54" s="72"/>
      <c r="CB54" s="72"/>
      <c r="CC54" s="72"/>
      <c r="CD54" s="72"/>
      <c r="CE54" s="72"/>
      <c r="CF54" s="72"/>
      <c r="CG54" s="72"/>
      <c r="CH54" s="72"/>
      <c r="CI54" s="72"/>
      <c r="CJ54" s="72"/>
      <c r="CK54" s="72"/>
      <c r="CL54" s="72"/>
      <c r="CM54" s="72"/>
      <c r="CN54" s="72"/>
      <c r="CO54" s="72"/>
    </row>
    <row r="55" spans="1:93" ht="16" customHeight="1" x14ac:dyDescent="0.35">
      <c r="A55" s="95" t="s">
        <v>185</v>
      </c>
      <c r="B55" s="72"/>
      <c r="C55" s="72"/>
      <c r="D55" s="72"/>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41"/>
      <c r="AU55" s="95" t="s">
        <v>272</v>
      </c>
      <c r="AV55" s="95"/>
      <c r="AW55" s="95"/>
      <c r="AX55" s="95"/>
      <c r="AY55" s="95"/>
      <c r="AZ55" s="95"/>
      <c r="BA55" s="95"/>
      <c r="BB55" s="95"/>
      <c r="BC55" s="95"/>
      <c r="BD55" s="95"/>
      <c r="BE55" s="95"/>
      <c r="BF55" s="95"/>
      <c r="BG55" s="95"/>
      <c r="BH55" s="95"/>
      <c r="BI55" s="95"/>
      <c r="BJ55" s="95"/>
      <c r="BK55" s="95"/>
      <c r="BL55" s="95"/>
      <c r="BM55" s="95"/>
      <c r="BN55" s="72"/>
      <c r="BO55" s="72"/>
      <c r="BP55" s="72"/>
      <c r="BQ55" s="72"/>
      <c r="BR55" s="72"/>
      <c r="BS55" s="72"/>
      <c r="BT55" s="72"/>
      <c r="BU55" s="72"/>
      <c r="BV55" s="72"/>
      <c r="BW55" s="72"/>
      <c r="BX55" s="72"/>
      <c r="BY55" s="72"/>
      <c r="BZ55" s="72"/>
      <c r="CA55" s="72"/>
      <c r="CB55" s="72"/>
      <c r="CC55" s="72"/>
      <c r="CD55" s="72"/>
      <c r="CE55" s="72"/>
      <c r="CF55" s="72"/>
      <c r="CG55" s="72"/>
      <c r="CH55" s="72"/>
      <c r="CI55" s="72"/>
      <c r="CJ55" s="72"/>
      <c r="CK55" s="72"/>
      <c r="CL55" s="72"/>
      <c r="CM55" s="72"/>
      <c r="CN55" s="72"/>
      <c r="CO55" s="72"/>
    </row>
    <row r="56" spans="1:93" ht="16" customHeight="1" x14ac:dyDescent="0.35">
      <c r="A56" s="95" t="s">
        <v>186</v>
      </c>
      <c r="B56" s="72"/>
      <c r="C56" s="72"/>
      <c r="D56" s="72"/>
      <c r="E56" s="72"/>
      <c r="F56" s="72"/>
      <c r="G56" s="72"/>
      <c r="H56" s="72"/>
      <c r="I56" s="72"/>
      <c r="J56" s="72"/>
      <c r="K56" s="72"/>
      <c r="L56" s="72"/>
      <c r="M56" s="72"/>
      <c r="N56" s="72"/>
      <c r="O56" s="72"/>
      <c r="P56" s="72" t="s">
        <v>322</v>
      </c>
      <c r="Q56" s="72"/>
      <c r="R56" s="72"/>
      <c r="S56" s="72"/>
      <c r="T56" s="72"/>
      <c r="U56" s="72"/>
      <c r="V56" s="72"/>
      <c r="W56" s="72"/>
      <c r="X56" s="72"/>
      <c r="Y56" s="72"/>
      <c r="Z56" s="72"/>
      <c r="AA56" s="72"/>
      <c r="AB56" s="72"/>
      <c r="AC56" s="72"/>
      <c r="AD56" s="72"/>
      <c r="AE56" s="72" t="s">
        <v>323</v>
      </c>
      <c r="AF56" s="72"/>
      <c r="AG56" s="72"/>
      <c r="AH56" s="72"/>
      <c r="AI56" s="72"/>
      <c r="AJ56" s="72"/>
      <c r="AK56" s="72"/>
      <c r="AL56" s="72"/>
      <c r="AM56" s="72"/>
      <c r="AN56" s="72"/>
      <c r="AO56" s="72"/>
      <c r="AP56" s="72"/>
      <c r="AQ56" s="72"/>
      <c r="AR56" s="72"/>
      <c r="AS56" s="72"/>
      <c r="AT56" s="41"/>
      <c r="AU56" s="95" t="s">
        <v>196</v>
      </c>
      <c r="AV56" s="95"/>
      <c r="AW56" s="95"/>
      <c r="AX56" s="95"/>
      <c r="AY56" s="95"/>
      <c r="AZ56" s="95"/>
      <c r="BA56" s="95"/>
      <c r="BB56" s="95"/>
      <c r="BC56" s="95"/>
      <c r="BD56" s="95"/>
      <c r="BE56" s="95"/>
      <c r="BF56" s="95"/>
      <c r="BG56" s="95"/>
      <c r="BH56" s="95"/>
      <c r="BI56" s="95"/>
      <c r="BJ56" s="95"/>
      <c r="BK56" s="95"/>
      <c r="BL56" s="95"/>
      <c r="BM56" s="95"/>
      <c r="BN56" s="72" t="s">
        <v>330</v>
      </c>
      <c r="BO56" s="72"/>
      <c r="BP56" s="72"/>
      <c r="BQ56" s="72"/>
      <c r="BR56" s="72"/>
      <c r="BS56" s="72"/>
      <c r="BT56" s="72"/>
      <c r="BU56" s="72"/>
      <c r="BV56" s="72"/>
      <c r="BW56" s="72"/>
      <c r="BX56" s="72"/>
      <c r="BY56" s="72"/>
      <c r="BZ56" s="72"/>
      <c r="CA56" s="72"/>
      <c r="CB56" s="72"/>
      <c r="CC56" s="72"/>
      <c r="CD56" s="72"/>
      <c r="CE56" s="72"/>
      <c r="CF56" s="72"/>
      <c r="CG56" s="72"/>
      <c r="CH56" s="72"/>
      <c r="CI56" s="72"/>
      <c r="CJ56" s="72"/>
      <c r="CK56" s="72"/>
      <c r="CL56" s="72"/>
      <c r="CM56" s="72"/>
      <c r="CN56" s="72"/>
      <c r="CO56" s="72"/>
    </row>
    <row r="57" spans="1:93" ht="16" customHeight="1" x14ac:dyDescent="0.35">
      <c r="A57" s="95" t="s">
        <v>273</v>
      </c>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t="s">
        <v>298</v>
      </c>
      <c r="AF57" s="72"/>
      <c r="AG57" s="72"/>
      <c r="AH57" s="72"/>
      <c r="AI57" s="72"/>
      <c r="AJ57" s="72"/>
      <c r="AK57" s="72"/>
      <c r="AL57" s="72"/>
      <c r="AM57" s="72"/>
      <c r="AN57" s="72"/>
      <c r="AO57" s="72"/>
      <c r="AP57" s="72"/>
      <c r="AQ57" s="72"/>
      <c r="AR57" s="72"/>
      <c r="AS57" s="72"/>
      <c r="AT57" s="41"/>
      <c r="AU57" s="95" t="s">
        <v>274</v>
      </c>
      <c r="AV57" s="95"/>
      <c r="AW57" s="95"/>
      <c r="AX57" s="95"/>
      <c r="AY57" s="95"/>
      <c r="AZ57" s="95"/>
      <c r="BA57" s="95"/>
      <c r="BB57" s="95"/>
      <c r="BC57" s="95"/>
      <c r="BD57" s="95"/>
      <c r="BE57" s="95"/>
      <c r="BF57" s="95"/>
      <c r="BG57" s="95"/>
      <c r="BH57" s="95"/>
      <c r="BI57" s="95"/>
      <c r="BJ57" s="95"/>
      <c r="BK57" s="95"/>
      <c r="BL57" s="95"/>
      <c r="BM57" s="95"/>
      <c r="BN57" s="72" t="s">
        <v>331</v>
      </c>
      <c r="BO57" s="72"/>
      <c r="BP57" s="72"/>
      <c r="BQ57" s="72"/>
      <c r="BR57" s="72"/>
      <c r="BS57" s="72"/>
      <c r="BT57" s="72"/>
      <c r="BU57" s="72"/>
      <c r="BV57" s="72"/>
      <c r="BW57" s="72"/>
      <c r="BX57" s="72"/>
      <c r="BY57" s="72"/>
      <c r="BZ57" s="72"/>
      <c r="CA57" s="72"/>
      <c r="CB57" s="72"/>
      <c r="CC57" s="72"/>
      <c r="CD57" s="72"/>
      <c r="CE57" s="72"/>
      <c r="CF57" s="72"/>
      <c r="CG57" s="72"/>
      <c r="CH57" s="72"/>
      <c r="CI57" s="72"/>
      <c r="CJ57" s="72"/>
      <c r="CK57" s="72"/>
      <c r="CL57" s="72"/>
      <c r="CM57" s="72"/>
      <c r="CN57" s="72"/>
      <c r="CO57" s="72"/>
    </row>
    <row r="58" spans="1:93" ht="16" customHeight="1" x14ac:dyDescent="0.35">
      <c r="A58" s="95" t="s">
        <v>275</v>
      </c>
      <c r="B58" s="95"/>
      <c r="C58" s="95"/>
      <c r="D58" s="95"/>
      <c r="E58" s="95"/>
      <c r="F58" s="95"/>
      <c r="G58" s="95"/>
      <c r="H58" s="95"/>
      <c r="I58" s="95"/>
      <c r="J58" s="95"/>
      <c r="K58" s="95"/>
      <c r="L58" s="95"/>
      <c r="M58" s="95"/>
      <c r="N58" s="95"/>
      <c r="O58" s="95"/>
      <c r="P58" s="72">
        <f>AR31</f>
        <v>0</v>
      </c>
      <c r="Q58" s="72"/>
      <c r="R58" s="72"/>
      <c r="S58" s="72"/>
      <c r="T58" s="72"/>
      <c r="U58" s="72"/>
      <c r="V58" s="72"/>
      <c r="W58" s="72"/>
      <c r="X58" s="72"/>
      <c r="Y58" s="72"/>
      <c r="Z58" s="72"/>
      <c r="AA58" s="72"/>
      <c r="AB58" s="72"/>
      <c r="AC58" s="72"/>
      <c r="AD58" s="72"/>
      <c r="AE58" s="72" t="str">
        <f>AR32</f>
        <v>(11kV/√3)/ (110/√3) V</v>
      </c>
      <c r="AF58" s="72"/>
      <c r="AG58" s="72"/>
      <c r="AH58" s="72"/>
      <c r="AI58" s="72"/>
      <c r="AJ58" s="72"/>
      <c r="AK58" s="72"/>
      <c r="AL58" s="72"/>
      <c r="AM58" s="72"/>
      <c r="AN58" s="72"/>
      <c r="AO58" s="72"/>
      <c r="AP58" s="72"/>
      <c r="AQ58" s="72"/>
      <c r="AR58" s="72"/>
      <c r="AS58" s="72"/>
      <c r="AT58" s="41"/>
      <c r="AU58" s="95" t="s">
        <v>276</v>
      </c>
      <c r="AV58" s="95"/>
      <c r="AW58" s="95"/>
      <c r="AX58" s="95"/>
      <c r="AY58" s="95"/>
      <c r="AZ58" s="95"/>
      <c r="BA58" s="95"/>
      <c r="BB58" s="95"/>
      <c r="BC58" s="95"/>
      <c r="BD58" s="95"/>
      <c r="BE58" s="95"/>
      <c r="BF58" s="95"/>
      <c r="BG58" s="95"/>
      <c r="BH58" s="95"/>
      <c r="BI58" s="95"/>
      <c r="BJ58" s="95"/>
      <c r="BK58" s="95"/>
      <c r="BL58" s="95"/>
      <c r="BM58" s="95"/>
      <c r="BN58" s="72"/>
      <c r="BO58" s="72"/>
      <c r="BP58" s="72"/>
      <c r="BQ58" s="72"/>
      <c r="BR58" s="72"/>
      <c r="BS58" s="72"/>
      <c r="BT58" s="72"/>
      <c r="BU58" s="72"/>
      <c r="BV58" s="72"/>
      <c r="BW58" s="72"/>
      <c r="BX58" s="72"/>
      <c r="BY58" s="72"/>
      <c r="BZ58" s="72"/>
      <c r="CA58" s="72"/>
      <c r="CB58" s="72"/>
      <c r="CC58" s="72"/>
      <c r="CD58" s="72"/>
      <c r="CE58" s="72"/>
      <c r="CF58" s="72"/>
      <c r="CG58" s="72"/>
      <c r="CH58" s="72"/>
      <c r="CI58" s="72"/>
      <c r="CJ58" s="72"/>
      <c r="CK58" s="72"/>
      <c r="CL58" s="72"/>
      <c r="CM58" s="72"/>
      <c r="CN58" s="72"/>
      <c r="CO58" s="72"/>
    </row>
    <row r="59" spans="1:93" ht="16" customHeight="1" x14ac:dyDescent="0.35">
      <c r="A59" s="121" t="s">
        <v>109</v>
      </c>
      <c r="B59" s="121"/>
      <c r="C59" s="121"/>
      <c r="D59" s="110" t="s">
        <v>176</v>
      </c>
      <c r="E59" s="110"/>
      <c r="F59" s="110"/>
      <c r="G59" s="110"/>
      <c r="H59" s="110"/>
      <c r="I59" s="110"/>
      <c r="J59" s="110"/>
      <c r="K59" s="110"/>
      <c r="L59" s="110"/>
      <c r="M59" s="110"/>
      <c r="N59" s="110"/>
      <c r="O59" s="110"/>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41"/>
      <c r="AU59" s="95" t="s">
        <v>270</v>
      </c>
      <c r="AV59" s="95"/>
      <c r="AW59" s="95"/>
      <c r="AX59" s="95"/>
      <c r="AY59" s="95"/>
      <c r="AZ59" s="95"/>
      <c r="BA59" s="95"/>
      <c r="BB59" s="95"/>
      <c r="BC59" s="95"/>
      <c r="BD59" s="95"/>
      <c r="BE59" s="95"/>
      <c r="BF59" s="95"/>
      <c r="BG59" s="95"/>
      <c r="BH59" s="95"/>
      <c r="BI59" s="95"/>
      <c r="BJ59" s="95"/>
      <c r="BK59" s="95"/>
      <c r="BL59" s="95"/>
      <c r="BM59" s="95"/>
      <c r="BN59" s="72"/>
      <c r="BO59" s="72"/>
      <c r="BP59" s="72"/>
      <c r="BQ59" s="72"/>
      <c r="BR59" s="72"/>
      <c r="BS59" s="72"/>
      <c r="BT59" s="72"/>
      <c r="BU59" s="72"/>
      <c r="BV59" s="72"/>
      <c r="BW59" s="72"/>
      <c r="BX59" s="72"/>
      <c r="BY59" s="72"/>
      <c r="BZ59" s="72"/>
      <c r="CA59" s="72"/>
      <c r="CB59" s="72"/>
      <c r="CC59" s="72"/>
      <c r="CD59" s="72"/>
      <c r="CE59" s="72"/>
      <c r="CF59" s="72"/>
      <c r="CG59" s="72"/>
      <c r="CH59" s="72"/>
      <c r="CI59" s="72"/>
      <c r="CJ59" s="72"/>
      <c r="CK59" s="72"/>
      <c r="CL59" s="72"/>
      <c r="CM59" s="72"/>
      <c r="CN59" s="72"/>
      <c r="CO59" s="72"/>
    </row>
    <row r="60" spans="1:93" ht="16" customHeight="1" x14ac:dyDescent="0.35">
      <c r="A60" s="121"/>
      <c r="B60" s="121"/>
      <c r="C60" s="121"/>
      <c r="D60" s="110" t="s">
        <v>179</v>
      </c>
      <c r="E60" s="110"/>
      <c r="F60" s="110"/>
      <c r="G60" s="110"/>
      <c r="H60" s="110"/>
      <c r="I60" s="110"/>
      <c r="J60" s="110"/>
      <c r="K60" s="110"/>
      <c r="L60" s="110"/>
      <c r="M60" s="110"/>
      <c r="N60" s="110"/>
      <c r="O60" s="110"/>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41"/>
      <c r="AU60" s="77" t="s">
        <v>277</v>
      </c>
      <c r="AV60" s="77"/>
      <c r="AW60" s="77"/>
      <c r="AX60" s="77"/>
      <c r="AY60" s="77"/>
      <c r="AZ60" s="77"/>
      <c r="BA60" s="77"/>
      <c r="BB60" s="77"/>
      <c r="BC60" s="77"/>
      <c r="BD60" s="77"/>
      <c r="BE60" s="77"/>
      <c r="BF60" s="77"/>
      <c r="BG60" s="77"/>
      <c r="BH60" s="77"/>
      <c r="BI60" s="77"/>
      <c r="BJ60" s="77"/>
      <c r="BK60" s="77"/>
      <c r="BL60" s="77"/>
      <c r="BM60" s="77"/>
      <c r="BN60" s="77"/>
      <c r="BO60" s="77"/>
      <c r="BP60" s="77"/>
      <c r="BQ60" s="77"/>
      <c r="BR60" s="77"/>
      <c r="BS60" s="77"/>
      <c r="BT60" s="77"/>
      <c r="BU60" s="77"/>
      <c r="BV60" s="77"/>
      <c r="BW60" s="77"/>
      <c r="BX60" s="77"/>
      <c r="BY60" s="77"/>
      <c r="BZ60" s="77"/>
      <c r="CA60" s="77"/>
      <c r="CB60" s="77"/>
      <c r="CC60" s="77"/>
      <c r="CD60" s="77"/>
      <c r="CE60" s="77"/>
      <c r="CF60" s="77"/>
      <c r="CG60" s="77"/>
      <c r="CH60" s="77"/>
      <c r="CI60" s="77"/>
      <c r="CJ60" s="77"/>
      <c r="CK60" s="77"/>
      <c r="CL60" s="77"/>
      <c r="CM60" s="77"/>
      <c r="CN60" s="77"/>
      <c r="CO60" s="77"/>
    </row>
    <row r="61" spans="1:93" ht="16" customHeight="1" x14ac:dyDescent="0.35">
      <c r="A61" s="121"/>
      <c r="B61" s="121"/>
      <c r="C61" s="121"/>
      <c r="D61" s="110" t="s">
        <v>180</v>
      </c>
      <c r="E61" s="110"/>
      <c r="F61" s="110"/>
      <c r="G61" s="110"/>
      <c r="H61" s="110"/>
      <c r="I61" s="110"/>
      <c r="J61" s="110"/>
      <c r="K61" s="110"/>
      <c r="L61" s="110"/>
      <c r="M61" s="110"/>
      <c r="N61" s="110"/>
      <c r="O61" s="110"/>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41"/>
      <c r="AU61" s="95" t="s">
        <v>278</v>
      </c>
      <c r="AV61" s="95"/>
      <c r="AW61" s="95"/>
      <c r="AX61" s="95"/>
      <c r="AY61" s="95"/>
      <c r="AZ61" s="95"/>
      <c r="BA61" s="95"/>
      <c r="BB61" s="95"/>
      <c r="BC61" s="95"/>
      <c r="BD61" s="95"/>
      <c r="BE61" s="95"/>
      <c r="BF61" s="95"/>
      <c r="BG61" s="95"/>
      <c r="BH61" s="95"/>
      <c r="BI61" s="95"/>
      <c r="BJ61" s="95"/>
      <c r="BK61" s="95"/>
      <c r="BL61" s="95"/>
      <c r="BM61" s="95"/>
      <c r="BN61" s="117"/>
      <c r="BO61" s="117"/>
      <c r="BP61" s="117"/>
      <c r="BQ61" s="117"/>
      <c r="BR61" s="117"/>
      <c r="BS61" s="117"/>
      <c r="BT61" s="117"/>
      <c r="BU61" s="117"/>
      <c r="BV61" s="117"/>
      <c r="BW61" s="117"/>
      <c r="BX61" s="117"/>
      <c r="BY61" s="117"/>
      <c r="BZ61" s="117"/>
      <c r="CA61" s="117"/>
      <c r="CB61" s="117"/>
      <c r="CC61" s="117"/>
      <c r="CD61" s="117"/>
      <c r="CE61" s="117"/>
      <c r="CF61" s="117"/>
      <c r="CG61" s="117"/>
      <c r="CH61" s="117"/>
      <c r="CI61" s="117"/>
      <c r="CJ61" s="117"/>
      <c r="CK61" s="117"/>
      <c r="CL61" s="117"/>
      <c r="CM61" s="117"/>
      <c r="CN61" s="117"/>
      <c r="CO61" s="117"/>
    </row>
    <row r="62" spans="1:93" ht="16" customHeight="1" x14ac:dyDescent="0.35">
      <c r="A62" s="110"/>
      <c r="B62" s="110"/>
      <c r="C62" s="110"/>
      <c r="D62" s="110"/>
      <c r="E62" s="110"/>
      <c r="F62" s="110"/>
      <c r="G62" s="110"/>
      <c r="H62" s="110"/>
      <c r="I62" s="110"/>
      <c r="J62" s="110"/>
      <c r="K62" s="110"/>
      <c r="L62" s="110"/>
      <c r="M62" s="110"/>
      <c r="N62" s="110"/>
      <c r="O62" s="110"/>
      <c r="P62" s="72" t="s">
        <v>36</v>
      </c>
      <c r="Q62" s="72"/>
      <c r="R62" s="72"/>
      <c r="S62" s="72"/>
      <c r="T62" s="72"/>
      <c r="U62" s="72"/>
      <c r="V62" s="72"/>
      <c r="W62" s="72"/>
      <c r="X62" s="72"/>
      <c r="Y62" s="72"/>
      <c r="Z62" s="72"/>
      <c r="AA62" s="72"/>
      <c r="AB62" s="72"/>
      <c r="AC62" s="72"/>
      <c r="AD62" s="72"/>
      <c r="AE62" s="72" t="s">
        <v>36</v>
      </c>
      <c r="AF62" s="72"/>
      <c r="AG62" s="72"/>
      <c r="AH62" s="72"/>
      <c r="AI62" s="72"/>
      <c r="AJ62" s="72"/>
      <c r="AK62" s="72"/>
      <c r="AL62" s="72"/>
      <c r="AM62" s="72"/>
      <c r="AN62" s="72"/>
      <c r="AO62" s="72"/>
      <c r="AP62" s="72"/>
      <c r="AQ62" s="72"/>
      <c r="AR62" s="72"/>
      <c r="AS62" s="72"/>
      <c r="AU62" s="95" t="s">
        <v>132</v>
      </c>
      <c r="AV62" s="95"/>
      <c r="AW62" s="95"/>
      <c r="AX62" s="95"/>
      <c r="AY62" s="95"/>
      <c r="AZ62" s="95"/>
      <c r="BA62" s="95"/>
      <c r="BB62" s="95"/>
      <c r="BC62" s="95"/>
      <c r="BD62" s="95"/>
      <c r="BE62" s="95"/>
      <c r="BF62" s="95"/>
      <c r="BG62" s="95"/>
      <c r="BH62" s="95"/>
      <c r="BI62" s="95"/>
      <c r="BJ62" s="95"/>
      <c r="BK62" s="95"/>
      <c r="BL62" s="95"/>
      <c r="BM62" s="95"/>
      <c r="BN62" s="118" t="s">
        <v>279</v>
      </c>
      <c r="BO62" s="119"/>
      <c r="BP62" s="119"/>
      <c r="BQ62" s="119"/>
      <c r="BR62" s="119"/>
      <c r="BS62" s="119"/>
      <c r="BT62" s="119"/>
      <c r="BU62" s="119"/>
      <c r="BV62" s="119"/>
      <c r="BW62" s="119"/>
      <c r="BX62" s="119"/>
      <c r="BY62" s="119"/>
      <c r="BZ62" s="119"/>
      <c r="CA62" s="119"/>
      <c r="CB62" s="119"/>
      <c r="CC62" s="119"/>
      <c r="CD62" s="119"/>
      <c r="CE62" s="119"/>
      <c r="CF62" s="119"/>
      <c r="CG62" s="119"/>
      <c r="CH62" s="119"/>
      <c r="CI62" s="119"/>
      <c r="CJ62" s="119"/>
      <c r="CK62" s="119"/>
      <c r="CL62" s="119"/>
      <c r="CM62" s="119"/>
      <c r="CN62" s="119"/>
      <c r="CO62" s="120"/>
    </row>
    <row r="63" spans="1:93" ht="8.15" customHeight="1" x14ac:dyDescent="0.35">
      <c r="A63" s="36"/>
      <c r="B63" s="38"/>
      <c r="C63" s="38"/>
      <c r="D63" s="38"/>
      <c r="E63" s="38"/>
      <c r="F63" s="38"/>
      <c r="G63" s="38"/>
      <c r="H63" s="38"/>
      <c r="I63" s="38"/>
      <c r="J63" s="38"/>
      <c r="K63" s="38"/>
      <c r="L63" s="38"/>
      <c r="M63" s="38"/>
      <c r="N63" s="38"/>
      <c r="O63" s="38"/>
      <c r="P63" s="38"/>
      <c r="Q63" s="38"/>
      <c r="R63" s="38"/>
      <c r="S63" s="38"/>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40"/>
      <c r="AS63" s="41"/>
      <c r="AT63" s="41"/>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c r="BU63" s="41"/>
      <c r="BV63" s="41"/>
      <c r="BW63" s="41"/>
      <c r="BX63" s="41"/>
      <c r="BY63" s="41"/>
      <c r="BZ63" s="41"/>
      <c r="CA63" s="41"/>
      <c r="CB63" s="41"/>
      <c r="CC63" s="41"/>
      <c r="CD63" s="41"/>
      <c r="CE63" s="41"/>
      <c r="CF63" s="41"/>
      <c r="CG63" s="41"/>
      <c r="CH63" s="41"/>
      <c r="CI63" s="41"/>
      <c r="CJ63" s="41"/>
      <c r="CK63" s="41"/>
      <c r="CL63" s="41"/>
      <c r="CM63" s="41"/>
      <c r="CN63" s="41"/>
      <c r="CO63" s="41"/>
    </row>
    <row r="64" spans="1:93" ht="16" customHeight="1" x14ac:dyDescent="0.35">
      <c r="A64" s="123" t="s">
        <v>280</v>
      </c>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3"/>
      <c r="AA64" s="123"/>
      <c r="AB64" s="123"/>
      <c r="AC64" s="123"/>
      <c r="AD64" s="123"/>
      <c r="AE64" s="123"/>
      <c r="AF64" s="123"/>
      <c r="AG64" s="123"/>
      <c r="AH64" s="123"/>
      <c r="AI64" s="123"/>
      <c r="AJ64" s="123"/>
      <c r="AK64" s="123"/>
      <c r="AL64" s="123"/>
      <c r="AM64" s="123"/>
      <c r="AN64" s="123"/>
      <c r="AO64" s="123"/>
      <c r="AP64" s="123"/>
      <c r="AQ64" s="123"/>
      <c r="AR64" s="124" t="s">
        <v>207</v>
      </c>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4"/>
      <c r="BT64" s="124"/>
      <c r="BU64" s="124"/>
      <c r="BV64" s="124"/>
      <c r="BW64" s="124"/>
      <c r="BX64" s="124"/>
      <c r="BY64" s="124"/>
      <c r="BZ64" s="124"/>
      <c r="CA64" s="124"/>
      <c r="CB64" s="124"/>
      <c r="CC64" s="124"/>
      <c r="CD64" s="124"/>
      <c r="CE64" s="124"/>
      <c r="CF64" s="124"/>
      <c r="CG64" s="124"/>
      <c r="CH64" s="124"/>
      <c r="CI64" s="124"/>
      <c r="CJ64" s="124"/>
      <c r="CK64" s="124"/>
      <c r="CL64" s="124"/>
      <c r="CM64" s="124"/>
      <c r="CN64" s="124"/>
      <c r="CO64" s="124"/>
    </row>
    <row r="65" spans="1:96" ht="4" customHeight="1" x14ac:dyDescent="0.35">
      <c r="A65" s="7"/>
    </row>
    <row r="66" spans="1:96" ht="12" customHeight="1" x14ac:dyDescent="0.35">
      <c r="A66" s="7"/>
      <c r="CH66" s="125" t="s">
        <v>219</v>
      </c>
      <c r="CI66" s="125"/>
      <c r="CJ66" s="125"/>
      <c r="CK66" s="125"/>
      <c r="CL66" s="125"/>
      <c r="CM66" s="125"/>
      <c r="CN66" s="125"/>
      <c r="CO66" s="125"/>
    </row>
    <row r="67" spans="1:96" ht="16" customHeight="1" x14ac:dyDescent="0.35">
      <c r="A67" s="8" t="s">
        <v>281</v>
      </c>
      <c r="AN67" s="8" t="s">
        <v>282</v>
      </c>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row>
    <row r="68" spans="1:96" ht="4" customHeight="1" x14ac:dyDescent="0.35">
      <c r="A68" s="8"/>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row>
    <row r="69" spans="1:96" ht="13" customHeight="1" x14ac:dyDescent="0.35">
      <c r="A69" s="126" t="s">
        <v>259</v>
      </c>
      <c r="B69" s="127"/>
      <c r="C69" s="127"/>
      <c r="D69" s="127"/>
      <c r="E69" s="127"/>
      <c r="F69" s="127"/>
      <c r="G69" s="127"/>
      <c r="H69" s="127"/>
      <c r="I69" s="127"/>
      <c r="J69" s="127"/>
      <c r="K69" s="127"/>
      <c r="L69" s="127"/>
      <c r="M69" s="127"/>
      <c r="N69" s="127"/>
      <c r="O69" s="128" t="s">
        <v>283</v>
      </c>
      <c r="P69" s="128"/>
      <c r="Q69" s="128"/>
      <c r="R69" s="128"/>
      <c r="S69" s="128"/>
      <c r="T69" s="128"/>
      <c r="U69" s="128"/>
      <c r="V69" s="128"/>
      <c r="W69" s="128"/>
      <c r="X69" s="128"/>
      <c r="Y69" s="128"/>
      <c r="Z69" s="128"/>
      <c r="AA69" s="128" t="s">
        <v>167</v>
      </c>
      <c r="AB69" s="128"/>
      <c r="AC69" s="128"/>
      <c r="AD69" s="128"/>
      <c r="AE69" s="128"/>
      <c r="AF69" s="128"/>
      <c r="AG69" s="128"/>
      <c r="AH69" s="128"/>
      <c r="AI69" s="128"/>
      <c r="AJ69" s="128"/>
      <c r="AK69" s="128"/>
      <c r="AL69" s="128"/>
      <c r="AM69" s="44"/>
      <c r="AN69" s="126" t="s">
        <v>52</v>
      </c>
      <c r="AO69" s="127"/>
      <c r="AP69" s="127"/>
      <c r="AQ69" s="127"/>
      <c r="AR69" s="127"/>
      <c r="AS69" s="127"/>
      <c r="AT69" s="127"/>
      <c r="AU69" s="127"/>
      <c r="AV69" s="127"/>
      <c r="AW69" s="127"/>
      <c r="AX69" s="127"/>
      <c r="AY69" s="127"/>
      <c r="AZ69" s="127"/>
      <c r="BA69" s="127"/>
      <c r="BB69" s="127"/>
      <c r="BC69" s="127"/>
      <c r="BD69" s="127"/>
      <c r="BE69" s="129" t="s">
        <v>283</v>
      </c>
      <c r="BF69" s="130"/>
      <c r="BG69" s="130"/>
      <c r="BH69" s="130"/>
      <c r="BI69" s="130"/>
      <c r="BJ69" s="130"/>
      <c r="BK69" s="130"/>
      <c r="BL69" s="130"/>
      <c r="BM69" s="130"/>
      <c r="BN69" s="130"/>
      <c r="BO69" s="130"/>
      <c r="BP69" s="130"/>
      <c r="BQ69" s="130"/>
      <c r="BR69" s="130"/>
      <c r="BS69" s="130"/>
      <c r="BT69" s="130"/>
      <c r="BU69" s="130"/>
      <c r="BV69" s="130"/>
      <c r="BW69" s="131"/>
      <c r="BX69" s="129" t="s">
        <v>167</v>
      </c>
      <c r="BY69" s="130"/>
      <c r="BZ69" s="130"/>
      <c r="CA69" s="130"/>
      <c r="CB69" s="130"/>
      <c r="CC69" s="130"/>
      <c r="CD69" s="130"/>
      <c r="CE69" s="130"/>
      <c r="CF69" s="130"/>
      <c r="CG69" s="130"/>
      <c r="CH69" s="130"/>
      <c r="CI69" s="130"/>
      <c r="CJ69" s="130"/>
      <c r="CK69" s="130"/>
      <c r="CL69" s="130"/>
      <c r="CM69" s="130"/>
      <c r="CN69" s="130"/>
      <c r="CO69" s="131"/>
      <c r="CP69" s="45"/>
      <c r="CQ69" s="45"/>
      <c r="CR69" s="45"/>
    </row>
    <row r="70" spans="1:96" ht="13" customHeight="1" x14ac:dyDescent="0.35">
      <c r="A70" s="132" t="s">
        <v>102</v>
      </c>
      <c r="B70" s="133"/>
      <c r="C70" s="133"/>
      <c r="D70" s="133"/>
      <c r="E70" s="133"/>
      <c r="F70" s="133"/>
      <c r="G70" s="133"/>
      <c r="H70" s="133"/>
      <c r="I70" s="133"/>
      <c r="J70" s="133"/>
      <c r="K70" s="133"/>
      <c r="L70" s="133"/>
      <c r="M70" s="133"/>
      <c r="N70" s="134"/>
      <c r="O70" s="72"/>
      <c r="P70" s="72"/>
      <c r="Q70" s="72"/>
      <c r="R70" s="72"/>
      <c r="S70" s="72"/>
      <c r="T70" s="72"/>
      <c r="U70" s="72"/>
      <c r="V70" s="72"/>
      <c r="W70" s="72"/>
      <c r="X70" s="72"/>
      <c r="Y70" s="72"/>
      <c r="Z70" s="72"/>
      <c r="AA70" s="72" t="s">
        <v>207</v>
      </c>
      <c r="AB70" s="72"/>
      <c r="AC70" s="72"/>
      <c r="AD70" s="72"/>
      <c r="AE70" s="72"/>
      <c r="AF70" s="72"/>
      <c r="AG70" s="72"/>
      <c r="AH70" s="72"/>
      <c r="AI70" s="72"/>
      <c r="AJ70" s="72"/>
      <c r="AK70" s="72"/>
      <c r="AL70" s="72"/>
      <c r="AM70" s="9"/>
      <c r="AN70" s="127"/>
      <c r="AO70" s="127"/>
      <c r="AP70" s="127"/>
      <c r="AQ70" s="127"/>
      <c r="AR70" s="127"/>
      <c r="AS70" s="127"/>
      <c r="AT70" s="127"/>
      <c r="AU70" s="127"/>
      <c r="AV70" s="127"/>
      <c r="AW70" s="127"/>
      <c r="AX70" s="127"/>
      <c r="AY70" s="127"/>
      <c r="AZ70" s="127"/>
      <c r="BA70" s="127"/>
      <c r="BB70" s="127"/>
      <c r="BC70" s="127"/>
      <c r="BD70" s="127"/>
      <c r="BE70" s="122" t="s">
        <v>284</v>
      </c>
      <c r="BF70" s="122"/>
      <c r="BG70" s="122"/>
      <c r="BH70" s="122"/>
      <c r="BI70" s="122"/>
      <c r="BJ70" s="122"/>
      <c r="BK70" s="122"/>
      <c r="BL70" s="122"/>
      <c r="BM70" s="122"/>
      <c r="BN70" s="122"/>
      <c r="BO70" s="122" t="s">
        <v>285</v>
      </c>
      <c r="BP70" s="122"/>
      <c r="BQ70" s="122"/>
      <c r="BR70" s="122"/>
      <c r="BS70" s="122"/>
      <c r="BT70" s="122"/>
      <c r="BU70" s="122"/>
      <c r="BV70" s="122"/>
      <c r="BW70" s="122"/>
      <c r="BX70" s="122" t="s">
        <v>284</v>
      </c>
      <c r="BY70" s="122"/>
      <c r="BZ70" s="122"/>
      <c r="CA70" s="122"/>
      <c r="CB70" s="122"/>
      <c r="CC70" s="122"/>
      <c r="CD70" s="122"/>
      <c r="CE70" s="122"/>
      <c r="CF70" s="122"/>
      <c r="CG70" s="122" t="s">
        <v>285</v>
      </c>
      <c r="CH70" s="122"/>
      <c r="CI70" s="122"/>
      <c r="CJ70" s="122"/>
      <c r="CK70" s="122"/>
      <c r="CL70" s="122"/>
      <c r="CM70" s="122"/>
      <c r="CN70" s="122"/>
      <c r="CO70" s="122"/>
    </row>
    <row r="71" spans="1:96" ht="13" customHeight="1" x14ac:dyDescent="0.35">
      <c r="A71" s="132" t="s">
        <v>286</v>
      </c>
      <c r="B71" s="133"/>
      <c r="C71" s="133"/>
      <c r="D71" s="133"/>
      <c r="E71" s="133"/>
      <c r="F71" s="133"/>
      <c r="G71" s="133"/>
      <c r="H71" s="133"/>
      <c r="I71" s="133"/>
      <c r="J71" s="133"/>
      <c r="K71" s="133"/>
      <c r="L71" s="133"/>
      <c r="M71" s="133"/>
      <c r="N71" s="134"/>
      <c r="O71" s="72" t="s">
        <v>29</v>
      </c>
      <c r="P71" s="72"/>
      <c r="Q71" s="72"/>
      <c r="R71" s="72"/>
      <c r="S71" s="72"/>
      <c r="T71" s="72"/>
      <c r="U71" s="72"/>
      <c r="V71" s="72"/>
      <c r="W71" s="72"/>
      <c r="X71" s="72"/>
      <c r="Y71" s="72"/>
      <c r="Z71" s="72"/>
      <c r="AA71" s="72"/>
      <c r="AB71" s="72"/>
      <c r="AC71" s="72"/>
      <c r="AD71" s="72"/>
      <c r="AE71" s="72"/>
      <c r="AF71" s="72"/>
      <c r="AG71" s="72"/>
      <c r="AH71" s="72"/>
      <c r="AI71" s="72"/>
      <c r="AJ71" s="72"/>
      <c r="AK71" s="72"/>
      <c r="AL71" s="72"/>
      <c r="AM71" s="9"/>
      <c r="AN71" s="135" t="s">
        <v>92</v>
      </c>
      <c r="AO71" s="135"/>
      <c r="AP71" s="135"/>
      <c r="AQ71" s="135"/>
      <c r="AR71" s="135"/>
      <c r="AS71" s="135"/>
      <c r="AT71" s="135"/>
      <c r="AU71" s="135"/>
      <c r="AV71" s="135"/>
      <c r="AW71" s="135"/>
      <c r="AX71" s="135"/>
      <c r="AY71" s="135"/>
      <c r="AZ71" s="135"/>
      <c r="BA71" s="135"/>
      <c r="BB71" s="135"/>
      <c r="BC71" s="135"/>
      <c r="BD71" s="135"/>
      <c r="BE71" s="127"/>
      <c r="BF71" s="127"/>
      <c r="BG71" s="127"/>
      <c r="BH71" s="127"/>
      <c r="BI71" s="127"/>
      <c r="BJ71" s="127"/>
      <c r="BK71" s="127"/>
      <c r="BL71" s="127"/>
      <c r="BM71" s="127"/>
      <c r="BN71" s="127"/>
      <c r="BO71" s="127"/>
      <c r="BP71" s="127"/>
      <c r="BQ71" s="127"/>
      <c r="BR71" s="127"/>
      <c r="BS71" s="127"/>
      <c r="BT71" s="127"/>
      <c r="BU71" s="127"/>
      <c r="BV71" s="127"/>
      <c r="BW71" s="127"/>
      <c r="BX71" s="127"/>
      <c r="BY71" s="127"/>
      <c r="BZ71" s="127"/>
      <c r="CA71" s="127"/>
      <c r="CB71" s="127"/>
      <c r="CC71" s="127"/>
      <c r="CD71" s="127"/>
      <c r="CE71" s="127"/>
      <c r="CF71" s="127"/>
      <c r="CG71" s="127"/>
      <c r="CH71" s="127"/>
      <c r="CI71" s="127"/>
      <c r="CJ71" s="127"/>
      <c r="CK71" s="127"/>
      <c r="CL71" s="127"/>
      <c r="CM71" s="127"/>
      <c r="CN71" s="127"/>
      <c r="CO71" s="127"/>
    </row>
    <row r="72" spans="1:96" ht="13" customHeight="1" x14ac:dyDescent="0.35">
      <c r="A72" s="132" t="s">
        <v>104</v>
      </c>
      <c r="B72" s="133"/>
      <c r="C72" s="133"/>
      <c r="D72" s="133"/>
      <c r="E72" s="133"/>
      <c r="F72" s="133"/>
      <c r="G72" s="133"/>
      <c r="H72" s="133"/>
      <c r="I72" s="133"/>
      <c r="J72" s="133"/>
      <c r="K72" s="133"/>
      <c r="L72" s="133"/>
      <c r="M72" s="133"/>
      <c r="N72" s="134"/>
      <c r="O72" s="72" t="s">
        <v>303</v>
      </c>
      <c r="P72" s="72"/>
      <c r="Q72" s="72"/>
      <c r="R72" s="72"/>
      <c r="S72" s="72"/>
      <c r="T72" s="72"/>
      <c r="U72" s="72"/>
      <c r="V72" s="72"/>
      <c r="W72" s="72"/>
      <c r="X72" s="72"/>
      <c r="Y72" s="72"/>
      <c r="Z72" s="72"/>
      <c r="AA72" s="117"/>
      <c r="AB72" s="117"/>
      <c r="AC72" s="117"/>
      <c r="AD72" s="117"/>
      <c r="AE72" s="117"/>
      <c r="AF72" s="117"/>
      <c r="AG72" s="117"/>
      <c r="AH72" s="117"/>
      <c r="AI72" s="117"/>
      <c r="AJ72" s="117"/>
      <c r="AK72" s="117"/>
      <c r="AL72" s="117"/>
      <c r="AM72" s="9"/>
      <c r="AN72" s="135" t="s">
        <v>93</v>
      </c>
      <c r="AO72" s="135"/>
      <c r="AP72" s="135"/>
      <c r="AQ72" s="135"/>
      <c r="AR72" s="135"/>
      <c r="AS72" s="135"/>
      <c r="AT72" s="135"/>
      <c r="AU72" s="135"/>
      <c r="AV72" s="135"/>
      <c r="AW72" s="135"/>
      <c r="AX72" s="135"/>
      <c r="AY72" s="135"/>
      <c r="AZ72" s="135"/>
      <c r="BA72" s="135"/>
      <c r="BB72" s="135"/>
      <c r="BC72" s="135"/>
      <c r="BD72" s="135"/>
      <c r="BE72" s="127"/>
      <c r="BF72" s="127"/>
      <c r="BG72" s="127"/>
      <c r="BH72" s="127"/>
      <c r="BI72" s="127"/>
      <c r="BJ72" s="127"/>
      <c r="BK72" s="127"/>
      <c r="BL72" s="127"/>
      <c r="BM72" s="127"/>
      <c r="BN72" s="127"/>
      <c r="BO72" s="127"/>
      <c r="BP72" s="127"/>
      <c r="BQ72" s="127"/>
      <c r="BR72" s="127"/>
      <c r="BS72" s="127"/>
      <c r="BT72" s="127"/>
      <c r="BU72" s="127"/>
      <c r="BV72" s="127"/>
      <c r="BW72" s="127"/>
      <c r="BX72" s="127"/>
      <c r="BY72" s="127"/>
      <c r="BZ72" s="127"/>
      <c r="CA72" s="127"/>
      <c r="CB72" s="127"/>
      <c r="CC72" s="127"/>
      <c r="CD72" s="127"/>
      <c r="CE72" s="127"/>
      <c r="CF72" s="127"/>
      <c r="CG72" s="127"/>
      <c r="CH72" s="127"/>
      <c r="CI72" s="127"/>
      <c r="CJ72" s="127"/>
      <c r="CK72" s="127"/>
      <c r="CL72" s="127"/>
      <c r="CM72" s="127"/>
      <c r="CN72" s="127"/>
      <c r="CO72" s="127"/>
    </row>
    <row r="73" spans="1:96" ht="13" customHeight="1" x14ac:dyDescent="0.35">
      <c r="A73" s="132" t="s">
        <v>105</v>
      </c>
      <c r="B73" s="133"/>
      <c r="C73" s="133"/>
      <c r="D73" s="133"/>
      <c r="E73" s="133"/>
      <c r="F73" s="133"/>
      <c r="G73" s="133"/>
      <c r="H73" s="133"/>
      <c r="I73" s="133"/>
      <c r="J73" s="133"/>
      <c r="K73" s="133"/>
      <c r="L73" s="133"/>
      <c r="M73" s="133"/>
      <c r="N73" s="134"/>
      <c r="O73" s="72" t="s">
        <v>305</v>
      </c>
      <c r="P73" s="72"/>
      <c r="Q73" s="72"/>
      <c r="R73" s="72"/>
      <c r="S73" s="72"/>
      <c r="T73" s="72"/>
      <c r="U73" s="72"/>
      <c r="V73" s="72"/>
      <c r="W73" s="72"/>
      <c r="X73" s="72"/>
      <c r="Y73" s="72"/>
      <c r="Z73" s="72"/>
      <c r="AA73" s="117"/>
      <c r="AB73" s="117"/>
      <c r="AC73" s="117"/>
      <c r="AD73" s="117"/>
      <c r="AE73" s="117"/>
      <c r="AF73" s="117"/>
      <c r="AG73" s="117"/>
      <c r="AH73" s="117"/>
      <c r="AI73" s="117"/>
      <c r="AJ73" s="117"/>
      <c r="AK73" s="117"/>
      <c r="AL73" s="117"/>
      <c r="AM73" s="9"/>
      <c r="AN73" s="135" t="s">
        <v>94</v>
      </c>
      <c r="AO73" s="135"/>
      <c r="AP73" s="135"/>
      <c r="AQ73" s="135"/>
      <c r="AR73" s="135"/>
      <c r="AS73" s="135"/>
      <c r="AT73" s="135"/>
      <c r="AU73" s="135"/>
      <c r="AV73" s="135"/>
      <c r="AW73" s="135"/>
      <c r="AX73" s="135"/>
      <c r="AY73" s="135"/>
      <c r="AZ73" s="135"/>
      <c r="BA73" s="135"/>
      <c r="BB73" s="135"/>
      <c r="BC73" s="135"/>
      <c r="BD73" s="135"/>
      <c r="BE73" s="127"/>
      <c r="BF73" s="127"/>
      <c r="BG73" s="127"/>
      <c r="BH73" s="127"/>
      <c r="BI73" s="127"/>
      <c r="BJ73" s="127"/>
      <c r="BK73" s="127"/>
      <c r="BL73" s="127"/>
      <c r="BM73" s="127"/>
      <c r="BN73" s="127"/>
      <c r="BO73" s="127"/>
      <c r="BP73" s="127"/>
      <c r="BQ73" s="127"/>
      <c r="BR73" s="127"/>
      <c r="BS73" s="127"/>
      <c r="BT73" s="127"/>
      <c r="BU73" s="127"/>
      <c r="BV73" s="127"/>
      <c r="BW73" s="127"/>
      <c r="BX73" s="127"/>
      <c r="BY73" s="127"/>
      <c r="BZ73" s="127"/>
      <c r="CA73" s="127"/>
      <c r="CB73" s="127"/>
      <c r="CC73" s="127"/>
      <c r="CD73" s="127"/>
      <c r="CE73" s="127"/>
      <c r="CF73" s="127"/>
      <c r="CG73" s="127"/>
      <c r="CH73" s="127"/>
      <c r="CI73" s="127"/>
      <c r="CJ73" s="127"/>
      <c r="CK73" s="127"/>
      <c r="CL73" s="127"/>
      <c r="CM73" s="127"/>
      <c r="CN73" s="127"/>
      <c r="CO73" s="127"/>
    </row>
    <row r="74" spans="1:96" ht="13" customHeight="1" x14ac:dyDescent="0.35">
      <c r="A74" s="132" t="s">
        <v>106</v>
      </c>
      <c r="B74" s="133"/>
      <c r="C74" s="133"/>
      <c r="D74" s="133"/>
      <c r="E74" s="133"/>
      <c r="F74" s="133"/>
      <c r="G74" s="133"/>
      <c r="H74" s="133"/>
      <c r="I74" s="133"/>
      <c r="J74" s="133"/>
      <c r="K74" s="133"/>
      <c r="L74" s="133"/>
      <c r="M74" s="133"/>
      <c r="N74" s="134"/>
      <c r="O74" s="72" t="s">
        <v>325</v>
      </c>
      <c r="P74" s="72"/>
      <c r="Q74" s="72"/>
      <c r="R74" s="72"/>
      <c r="S74" s="72"/>
      <c r="T74" s="72"/>
      <c r="U74" s="72"/>
      <c r="V74" s="72"/>
      <c r="W74" s="72"/>
      <c r="X74" s="72"/>
      <c r="Y74" s="72"/>
      <c r="Z74" s="72"/>
      <c r="AA74" s="117"/>
      <c r="AB74" s="117"/>
      <c r="AC74" s="117"/>
      <c r="AD74" s="117"/>
      <c r="AE74" s="117"/>
      <c r="AF74" s="117"/>
      <c r="AG74" s="117"/>
      <c r="AH74" s="117"/>
      <c r="AI74" s="117"/>
      <c r="AJ74" s="117"/>
      <c r="AK74" s="117"/>
      <c r="AL74" s="117"/>
      <c r="AM74" s="9"/>
      <c r="AN74" s="135" t="s">
        <v>95</v>
      </c>
      <c r="AO74" s="135"/>
      <c r="AP74" s="135"/>
      <c r="AQ74" s="135"/>
      <c r="AR74" s="135"/>
      <c r="AS74" s="135"/>
      <c r="AT74" s="135"/>
      <c r="AU74" s="135"/>
      <c r="AV74" s="135"/>
      <c r="AW74" s="135"/>
      <c r="AX74" s="135"/>
      <c r="AY74" s="135"/>
      <c r="AZ74" s="135"/>
      <c r="BA74" s="135"/>
      <c r="BB74" s="135"/>
      <c r="BC74" s="135"/>
      <c r="BD74" s="135"/>
      <c r="BE74" s="127"/>
      <c r="BF74" s="127"/>
      <c r="BG74" s="127"/>
      <c r="BH74" s="127"/>
      <c r="BI74" s="127"/>
      <c r="BJ74" s="127"/>
      <c r="BK74" s="127"/>
      <c r="BL74" s="127"/>
      <c r="BM74" s="127"/>
      <c r="BN74" s="127"/>
      <c r="BO74" s="127"/>
      <c r="BP74" s="127"/>
      <c r="BQ74" s="127"/>
      <c r="BR74" s="127"/>
      <c r="BS74" s="127"/>
      <c r="BT74" s="127"/>
      <c r="BU74" s="127"/>
      <c r="BV74" s="127"/>
      <c r="BW74" s="127"/>
      <c r="BX74" s="127"/>
      <c r="BY74" s="127"/>
      <c r="BZ74" s="127"/>
      <c r="CA74" s="127"/>
      <c r="CB74" s="127"/>
      <c r="CC74" s="127"/>
      <c r="CD74" s="127"/>
      <c r="CE74" s="127"/>
      <c r="CF74" s="127"/>
      <c r="CG74" s="127"/>
      <c r="CH74" s="127"/>
      <c r="CI74" s="127"/>
      <c r="CJ74" s="127"/>
      <c r="CK74" s="127"/>
      <c r="CL74" s="127"/>
      <c r="CM74" s="127"/>
      <c r="CN74" s="127"/>
      <c r="CO74" s="127"/>
    </row>
    <row r="75" spans="1:96" ht="13" customHeight="1" x14ac:dyDescent="0.35">
      <c r="A75" s="132" t="s">
        <v>107</v>
      </c>
      <c r="B75" s="133"/>
      <c r="C75" s="133"/>
      <c r="D75" s="133"/>
      <c r="E75" s="133"/>
      <c r="F75" s="133"/>
      <c r="G75" s="133"/>
      <c r="H75" s="133"/>
      <c r="I75" s="133"/>
      <c r="J75" s="133"/>
      <c r="K75" s="133"/>
      <c r="L75" s="133"/>
      <c r="M75" s="133"/>
      <c r="N75" s="134"/>
      <c r="O75" s="72">
        <v>50000</v>
      </c>
      <c r="P75" s="72"/>
      <c r="Q75" s="72"/>
      <c r="R75" s="72"/>
      <c r="S75" s="72"/>
      <c r="T75" s="72"/>
      <c r="U75" s="72"/>
      <c r="V75" s="72"/>
      <c r="W75" s="72"/>
      <c r="X75" s="72"/>
      <c r="Y75" s="72"/>
      <c r="Z75" s="72"/>
      <c r="AA75" s="72"/>
      <c r="AB75" s="72"/>
      <c r="AC75" s="72"/>
      <c r="AD75" s="72"/>
      <c r="AE75" s="72"/>
      <c r="AF75" s="72"/>
      <c r="AG75" s="72"/>
      <c r="AH75" s="72"/>
      <c r="AI75" s="72"/>
      <c r="AJ75" s="72"/>
      <c r="AK75" s="72"/>
      <c r="AL75" s="72"/>
      <c r="AM75" s="9"/>
      <c r="AN75" s="135" t="s">
        <v>287</v>
      </c>
      <c r="AO75" s="135"/>
      <c r="AP75" s="135"/>
      <c r="AQ75" s="135"/>
      <c r="AR75" s="135"/>
      <c r="AS75" s="135"/>
      <c r="AT75" s="135"/>
      <c r="AU75" s="135"/>
      <c r="AV75" s="135"/>
      <c r="AW75" s="135"/>
      <c r="AX75" s="135"/>
      <c r="AY75" s="135"/>
      <c r="AZ75" s="135"/>
      <c r="BA75" s="135"/>
      <c r="BB75" s="135"/>
      <c r="BC75" s="135"/>
      <c r="BD75" s="135"/>
      <c r="BE75" s="127"/>
      <c r="BF75" s="127"/>
      <c r="BG75" s="127"/>
      <c r="BH75" s="127"/>
      <c r="BI75" s="127"/>
      <c r="BJ75" s="127"/>
      <c r="BK75" s="127"/>
      <c r="BL75" s="127"/>
      <c r="BM75" s="127"/>
      <c r="BN75" s="127"/>
      <c r="BO75" s="127"/>
      <c r="BP75" s="127"/>
      <c r="BQ75" s="127"/>
      <c r="BR75" s="127"/>
      <c r="BS75" s="127"/>
      <c r="BT75" s="127"/>
      <c r="BU75" s="127"/>
      <c r="BV75" s="127"/>
      <c r="BW75" s="127"/>
      <c r="BX75" s="127"/>
      <c r="BY75" s="127"/>
      <c r="BZ75" s="127"/>
      <c r="CA75" s="127"/>
      <c r="CB75" s="127"/>
      <c r="CC75" s="127"/>
      <c r="CD75" s="127"/>
      <c r="CE75" s="127"/>
      <c r="CF75" s="127"/>
      <c r="CG75" s="127"/>
      <c r="CH75" s="127"/>
      <c r="CI75" s="127"/>
      <c r="CJ75" s="127"/>
      <c r="CK75" s="127"/>
      <c r="CL75" s="127"/>
      <c r="CM75" s="127"/>
      <c r="CN75" s="127"/>
      <c r="CO75" s="127"/>
    </row>
    <row r="76" spans="1:96" ht="13" customHeight="1" x14ac:dyDescent="0.35">
      <c r="A76" s="132" t="s">
        <v>108</v>
      </c>
      <c r="B76" s="133"/>
      <c r="C76" s="133"/>
      <c r="D76" s="133"/>
      <c r="E76" s="133"/>
      <c r="F76" s="133"/>
      <c r="G76" s="133"/>
      <c r="H76" s="133"/>
      <c r="I76" s="133"/>
      <c r="J76" s="133"/>
      <c r="K76" s="133"/>
      <c r="L76" s="133"/>
      <c r="M76" s="133"/>
      <c r="N76" s="134"/>
      <c r="O76" s="72">
        <v>1</v>
      </c>
      <c r="P76" s="72"/>
      <c r="Q76" s="72"/>
      <c r="R76" s="72"/>
      <c r="S76" s="72"/>
      <c r="T76" s="72"/>
      <c r="U76" s="72"/>
      <c r="V76" s="72"/>
      <c r="W76" s="72"/>
      <c r="X76" s="72"/>
      <c r="Y76" s="72"/>
      <c r="Z76" s="72"/>
      <c r="AA76" s="117"/>
      <c r="AB76" s="117"/>
      <c r="AC76" s="117"/>
      <c r="AD76" s="117"/>
      <c r="AE76" s="117"/>
      <c r="AF76" s="117"/>
      <c r="AG76" s="117"/>
      <c r="AH76" s="117"/>
      <c r="AI76" s="117"/>
      <c r="AJ76" s="117"/>
      <c r="AK76" s="117"/>
      <c r="AL76" s="117"/>
      <c r="AM76" s="9"/>
      <c r="AN76" s="135" t="s">
        <v>288</v>
      </c>
      <c r="AO76" s="135"/>
      <c r="AP76" s="135"/>
      <c r="AQ76" s="135"/>
      <c r="AR76" s="135"/>
      <c r="AS76" s="135"/>
      <c r="AT76" s="135"/>
      <c r="AU76" s="135"/>
      <c r="AV76" s="135"/>
      <c r="AW76" s="135"/>
      <c r="AX76" s="135"/>
      <c r="AY76" s="135"/>
      <c r="AZ76" s="135"/>
      <c r="BA76" s="135"/>
      <c r="BB76" s="135"/>
      <c r="BC76" s="135"/>
      <c r="BD76" s="135"/>
      <c r="BE76" s="127"/>
      <c r="BF76" s="127"/>
      <c r="BG76" s="127"/>
      <c r="BH76" s="127"/>
      <c r="BI76" s="127"/>
      <c r="BJ76" s="127"/>
      <c r="BK76" s="127"/>
      <c r="BL76" s="127"/>
      <c r="BM76" s="127"/>
      <c r="BN76" s="127"/>
      <c r="BO76" s="127"/>
      <c r="BP76" s="127"/>
      <c r="BQ76" s="127"/>
      <c r="BR76" s="127"/>
      <c r="BS76" s="127"/>
      <c r="BT76" s="127"/>
      <c r="BU76" s="127"/>
      <c r="BV76" s="127"/>
      <c r="BW76" s="127"/>
      <c r="BX76" s="127"/>
      <c r="BY76" s="127"/>
      <c r="BZ76" s="127"/>
      <c r="CA76" s="127"/>
      <c r="CB76" s="127"/>
      <c r="CC76" s="127"/>
      <c r="CD76" s="127"/>
      <c r="CE76" s="127"/>
      <c r="CF76" s="127"/>
      <c r="CG76" s="127"/>
      <c r="CH76" s="127"/>
      <c r="CI76" s="127"/>
      <c r="CJ76" s="127"/>
      <c r="CK76" s="127"/>
      <c r="CL76" s="127"/>
      <c r="CM76" s="127"/>
      <c r="CN76" s="127"/>
      <c r="CO76" s="127"/>
    </row>
    <row r="77" spans="1:96" ht="13" customHeight="1" x14ac:dyDescent="0.35">
      <c r="A77" s="132" t="s">
        <v>109</v>
      </c>
      <c r="B77" s="133"/>
      <c r="C77" s="133"/>
      <c r="D77" s="133"/>
      <c r="E77" s="133"/>
      <c r="F77" s="133"/>
      <c r="G77" s="133"/>
      <c r="H77" s="133"/>
      <c r="I77" s="133"/>
      <c r="J77" s="133"/>
      <c r="K77" s="133"/>
      <c r="L77" s="133"/>
      <c r="M77" s="133"/>
      <c r="N77" s="134"/>
      <c r="O77" s="72"/>
      <c r="P77" s="72"/>
      <c r="Q77" s="72"/>
      <c r="R77" s="72"/>
      <c r="S77" s="72"/>
      <c r="T77" s="72"/>
      <c r="U77" s="72"/>
      <c r="V77" s="72"/>
      <c r="W77" s="72"/>
      <c r="X77" s="72"/>
      <c r="Y77" s="72"/>
      <c r="Z77" s="72"/>
      <c r="AA77" s="117"/>
      <c r="AB77" s="117"/>
      <c r="AC77" s="117"/>
      <c r="AD77" s="117"/>
      <c r="AE77" s="117"/>
      <c r="AF77" s="117"/>
      <c r="AG77" s="117"/>
      <c r="AH77" s="117"/>
      <c r="AI77" s="117"/>
      <c r="AJ77" s="117"/>
      <c r="AK77" s="117"/>
      <c r="AL77" s="117"/>
      <c r="AM77" s="9"/>
      <c r="AN77" s="135" t="s">
        <v>96</v>
      </c>
      <c r="AO77" s="135"/>
      <c r="AP77" s="135"/>
      <c r="AQ77" s="135"/>
      <c r="AR77" s="135"/>
      <c r="AS77" s="135"/>
      <c r="AT77" s="135"/>
      <c r="AU77" s="135"/>
      <c r="AV77" s="135"/>
      <c r="AW77" s="135"/>
      <c r="AX77" s="135"/>
      <c r="AY77" s="135"/>
      <c r="AZ77" s="135"/>
      <c r="BA77" s="135"/>
      <c r="BB77" s="135"/>
      <c r="BC77" s="135"/>
      <c r="BD77" s="135"/>
      <c r="BE77" s="127"/>
      <c r="BF77" s="127"/>
      <c r="BG77" s="127"/>
      <c r="BH77" s="127"/>
      <c r="BI77" s="127"/>
      <c r="BJ77" s="127"/>
      <c r="BK77" s="127"/>
      <c r="BL77" s="127"/>
      <c r="BM77" s="127"/>
      <c r="BN77" s="127"/>
      <c r="BO77" s="127"/>
      <c r="BP77" s="127"/>
      <c r="BQ77" s="127"/>
      <c r="BR77" s="127"/>
      <c r="BS77" s="127"/>
      <c r="BT77" s="127"/>
      <c r="BU77" s="127"/>
      <c r="BV77" s="127"/>
      <c r="BW77" s="127"/>
      <c r="BX77" s="127"/>
      <c r="BY77" s="127"/>
      <c r="BZ77" s="127"/>
      <c r="CA77" s="127"/>
      <c r="CB77" s="127"/>
      <c r="CC77" s="127"/>
      <c r="CD77" s="127"/>
      <c r="CE77" s="127"/>
      <c r="CF77" s="127"/>
      <c r="CG77" s="127"/>
      <c r="CH77" s="127"/>
      <c r="CI77" s="127"/>
      <c r="CJ77" s="127"/>
      <c r="CK77" s="127"/>
      <c r="CL77" s="127"/>
      <c r="CM77" s="127"/>
      <c r="CN77" s="127"/>
      <c r="CO77" s="127"/>
    </row>
    <row r="78" spans="1:96" ht="13" customHeight="1" x14ac:dyDescent="0.35">
      <c r="A78" s="132" t="s">
        <v>110</v>
      </c>
      <c r="B78" s="133"/>
      <c r="C78" s="133"/>
      <c r="D78" s="133"/>
      <c r="E78" s="133"/>
      <c r="F78" s="133"/>
      <c r="G78" s="133"/>
      <c r="H78" s="133"/>
      <c r="I78" s="133"/>
      <c r="J78" s="133"/>
      <c r="K78" s="133"/>
      <c r="L78" s="133"/>
      <c r="M78" s="133"/>
      <c r="N78" s="134"/>
      <c r="O78" s="72"/>
      <c r="P78" s="72"/>
      <c r="Q78" s="72"/>
      <c r="R78" s="72"/>
      <c r="S78" s="72"/>
      <c r="T78" s="72"/>
      <c r="U78" s="72"/>
      <c r="V78" s="72"/>
      <c r="W78" s="72"/>
      <c r="X78" s="72"/>
      <c r="Y78" s="72"/>
      <c r="Z78" s="72"/>
      <c r="AA78" s="117"/>
      <c r="AB78" s="117"/>
      <c r="AC78" s="117"/>
      <c r="AD78" s="117"/>
      <c r="AE78" s="117"/>
      <c r="AF78" s="117"/>
      <c r="AG78" s="117"/>
      <c r="AH78" s="117"/>
      <c r="AI78" s="117"/>
      <c r="AJ78" s="117"/>
      <c r="AK78" s="117"/>
      <c r="AL78" s="117"/>
      <c r="AM78" s="9"/>
      <c r="AN78" s="135" t="s">
        <v>97</v>
      </c>
      <c r="AO78" s="135"/>
      <c r="AP78" s="135"/>
      <c r="AQ78" s="135"/>
      <c r="AR78" s="135"/>
      <c r="AS78" s="135"/>
      <c r="AT78" s="135"/>
      <c r="AU78" s="135"/>
      <c r="AV78" s="135"/>
      <c r="AW78" s="135"/>
      <c r="AX78" s="135"/>
      <c r="AY78" s="135"/>
      <c r="AZ78" s="135"/>
      <c r="BA78" s="135"/>
      <c r="BB78" s="135"/>
      <c r="BC78" s="135"/>
      <c r="BD78" s="135"/>
      <c r="BE78" s="127"/>
      <c r="BF78" s="127"/>
      <c r="BG78" s="127"/>
      <c r="BH78" s="127"/>
      <c r="BI78" s="127"/>
      <c r="BJ78" s="127"/>
      <c r="BK78" s="127"/>
      <c r="BL78" s="127"/>
      <c r="BM78" s="127"/>
      <c r="BN78" s="127"/>
      <c r="BO78" s="127"/>
      <c r="BP78" s="127"/>
      <c r="BQ78" s="127"/>
      <c r="BR78" s="127"/>
      <c r="BS78" s="127"/>
      <c r="BT78" s="127"/>
      <c r="BU78" s="127"/>
      <c r="BV78" s="127"/>
      <c r="BW78" s="127"/>
      <c r="BX78" s="127"/>
      <c r="BY78" s="127"/>
      <c r="BZ78" s="127"/>
      <c r="CA78" s="127"/>
      <c r="CB78" s="127"/>
      <c r="CC78" s="127"/>
      <c r="CD78" s="127"/>
      <c r="CE78" s="127"/>
      <c r="CF78" s="127"/>
      <c r="CG78" s="127"/>
      <c r="CH78" s="127"/>
      <c r="CI78" s="127"/>
      <c r="CJ78" s="127"/>
      <c r="CK78" s="127"/>
      <c r="CL78" s="127"/>
      <c r="CM78" s="127"/>
      <c r="CN78" s="127"/>
      <c r="CO78" s="127"/>
    </row>
    <row r="79" spans="1:96" ht="13" customHeight="1" x14ac:dyDescent="0.35">
      <c r="A79" s="132" t="s">
        <v>111</v>
      </c>
      <c r="B79" s="133"/>
      <c r="C79" s="133"/>
      <c r="D79" s="133"/>
      <c r="E79" s="133"/>
      <c r="F79" s="133"/>
      <c r="G79" s="133"/>
      <c r="H79" s="133"/>
      <c r="I79" s="133"/>
      <c r="J79" s="133"/>
      <c r="K79" s="133"/>
      <c r="L79" s="133"/>
      <c r="M79" s="133"/>
      <c r="N79" s="134"/>
      <c r="O79" s="72" t="s">
        <v>130</v>
      </c>
      <c r="P79" s="72"/>
      <c r="Q79" s="72"/>
      <c r="R79" s="72"/>
      <c r="S79" s="72"/>
      <c r="T79" s="72"/>
      <c r="U79" s="72"/>
      <c r="V79" s="72"/>
      <c r="W79" s="72"/>
      <c r="X79" s="72"/>
      <c r="Y79" s="72"/>
      <c r="Z79" s="72"/>
      <c r="AA79" s="72"/>
      <c r="AB79" s="72"/>
      <c r="AC79" s="72"/>
      <c r="AD79" s="72"/>
      <c r="AE79" s="72"/>
      <c r="AF79" s="72"/>
      <c r="AG79" s="72"/>
      <c r="AH79" s="72"/>
      <c r="AI79" s="72"/>
      <c r="AJ79" s="72"/>
      <c r="AK79" s="72"/>
      <c r="AL79" s="72"/>
      <c r="AM79" s="9"/>
      <c r="AN79" s="135" t="s">
        <v>98</v>
      </c>
      <c r="AO79" s="135"/>
      <c r="AP79" s="135"/>
      <c r="AQ79" s="135"/>
      <c r="AR79" s="135"/>
      <c r="AS79" s="135"/>
      <c r="AT79" s="135"/>
      <c r="AU79" s="135"/>
      <c r="AV79" s="135"/>
      <c r="AW79" s="135"/>
      <c r="AX79" s="135"/>
      <c r="AY79" s="135"/>
      <c r="AZ79" s="135"/>
      <c r="BA79" s="135"/>
      <c r="BB79" s="135"/>
      <c r="BC79" s="135"/>
      <c r="BD79" s="135"/>
      <c r="BE79" s="127"/>
      <c r="BF79" s="127"/>
      <c r="BG79" s="127"/>
      <c r="BH79" s="127"/>
      <c r="BI79" s="127"/>
      <c r="BJ79" s="127"/>
      <c r="BK79" s="127"/>
      <c r="BL79" s="127"/>
      <c r="BM79" s="127"/>
      <c r="BN79" s="127"/>
      <c r="BO79" s="127"/>
      <c r="BP79" s="127"/>
      <c r="BQ79" s="127"/>
      <c r="BR79" s="127"/>
      <c r="BS79" s="127"/>
      <c r="BT79" s="127"/>
      <c r="BU79" s="127"/>
      <c r="BV79" s="127"/>
      <c r="BW79" s="127"/>
      <c r="BX79" s="127"/>
      <c r="BY79" s="127"/>
      <c r="BZ79" s="127"/>
      <c r="CA79" s="127"/>
      <c r="CB79" s="127"/>
      <c r="CC79" s="127"/>
      <c r="CD79" s="127"/>
      <c r="CE79" s="127"/>
      <c r="CF79" s="127"/>
      <c r="CG79" s="127"/>
      <c r="CH79" s="127"/>
      <c r="CI79" s="127"/>
      <c r="CJ79" s="127"/>
      <c r="CK79" s="127"/>
      <c r="CL79" s="127"/>
      <c r="CM79" s="127"/>
      <c r="CN79" s="127"/>
      <c r="CO79" s="127"/>
    </row>
    <row r="80" spans="1:96" ht="13" customHeight="1" x14ac:dyDescent="0.35">
      <c r="A80" s="132" t="s">
        <v>123</v>
      </c>
      <c r="B80" s="133"/>
      <c r="C80" s="133"/>
      <c r="D80" s="133"/>
      <c r="E80" s="133"/>
      <c r="F80" s="133"/>
      <c r="G80" s="133"/>
      <c r="H80" s="133"/>
      <c r="I80" s="133"/>
      <c r="J80" s="133"/>
      <c r="K80" s="133"/>
      <c r="L80" s="133"/>
      <c r="M80" s="133"/>
      <c r="N80" s="134"/>
      <c r="O80" s="136" t="s">
        <v>117</v>
      </c>
      <c r="P80" s="136"/>
      <c r="Q80" s="136"/>
      <c r="R80" s="136"/>
      <c r="S80" s="136"/>
      <c r="T80" s="136"/>
      <c r="U80" s="136"/>
      <c r="V80" s="136"/>
      <c r="W80" s="136"/>
      <c r="X80" s="136"/>
      <c r="Y80" s="136"/>
      <c r="Z80" s="136"/>
      <c r="AA80" s="136"/>
      <c r="AB80" s="136"/>
      <c r="AC80" s="136"/>
      <c r="AD80" s="136"/>
      <c r="AE80" s="136"/>
      <c r="AF80" s="136"/>
      <c r="AG80" s="136"/>
      <c r="AH80" s="136"/>
      <c r="AI80" s="136"/>
      <c r="AJ80" s="136"/>
      <c r="AK80" s="136"/>
      <c r="AL80" s="136"/>
      <c r="AM80" s="9"/>
      <c r="AN80" s="135" t="s">
        <v>99</v>
      </c>
      <c r="AO80" s="135"/>
      <c r="AP80" s="135"/>
      <c r="AQ80" s="135"/>
      <c r="AR80" s="135"/>
      <c r="AS80" s="135"/>
      <c r="AT80" s="135"/>
      <c r="AU80" s="135"/>
      <c r="AV80" s="135"/>
      <c r="AW80" s="135"/>
      <c r="AX80" s="135"/>
      <c r="AY80" s="135"/>
      <c r="AZ80" s="135"/>
      <c r="BA80" s="135"/>
      <c r="BB80" s="135"/>
      <c r="BC80" s="135"/>
      <c r="BD80" s="135"/>
      <c r="BE80" s="127"/>
      <c r="BF80" s="127"/>
      <c r="BG80" s="127"/>
      <c r="BH80" s="127"/>
      <c r="BI80" s="127"/>
      <c r="BJ80" s="127"/>
      <c r="BK80" s="127"/>
      <c r="BL80" s="127"/>
      <c r="BM80" s="127"/>
      <c r="BN80" s="127"/>
      <c r="BO80" s="127"/>
      <c r="BP80" s="127"/>
      <c r="BQ80" s="127"/>
      <c r="BR80" s="127"/>
      <c r="BS80" s="127"/>
      <c r="BT80" s="127"/>
      <c r="BU80" s="127"/>
      <c r="BV80" s="127"/>
      <c r="BW80" s="127"/>
      <c r="BX80" s="127"/>
      <c r="BY80" s="127"/>
      <c r="BZ80" s="127"/>
      <c r="CA80" s="127"/>
      <c r="CB80" s="127"/>
      <c r="CC80" s="127"/>
      <c r="CD80" s="127"/>
      <c r="CE80" s="127"/>
      <c r="CF80" s="127"/>
      <c r="CG80" s="127"/>
      <c r="CH80" s="127"/>
      <c r="CI80" s="127"/>
      <c r="CJ80" s="127"/>
      <c r="CK80" s="127"/>
      <c r="CL80" s="127"/>
      <c r="CM80" s="127"/>
      <c r="CN80" s="127"/>
      <c r="CO80" s="127"/>
    </row>
    <row r="81" spans="1:93" ht="13" customHeight="1" x14ac:dyDescent="0.35">
      <c r="A81" s="132" t="s">
        <v>112</v>
      </c>
      <c r="B81" s="133"/>
      <c r="C81" s="133"/>
      <c r="D81" s="133"/>
      <c r="E81" s="133"/>
      <c r="F81" s="133"/>
      <c r="G81" s="133"/>
      <c r="H81" s="133"/>
      <c r="I81" s="133"/>
      <c r="J81" s="133"/>
      <c r="K81" s="133"/>
      <c r="L81" s="133"/>
      <c r="M81" s="133"/>
      <c r="N81" s="134"/>
      <c r="O81" s="72" t="s">
        <v>30</v>
      </c>
      <c r="P81" s="72"/>
      <c r="Q81" s="72"/>
      <c r="R81" s="72"/>
      <c r="S81" s="72"/>
      <c r="T81" s="72"/>
      <c r="U81" s="72"/>
      <c r="V81" s="72"/>
      <c r="W81" s="72"/>
      <c r="X81" s="72"/>
      <c r="Y81" s="72"/>
      <c r="Z81" s="72"/>
      <c r="AA81" s="72"/>
      <c r="AB81" s="72"/>
      <c r="AC81" s="72"/>
      <c r="AD81" s="72"/>
      <c r="AE81" s="72"/>
      <c r="AF81" s="72"/>
      <c r="AG81" s="72"/>
      <c r="AH81" s="72"/>
      <c r="AI81" s="72"/>
      <c r="AJ81" s="72"/>
      <c r="AK81" s="72"/>
      <c r="AL81" s="72"/>
      <c r="AM81" s="9"/>
      <c r="AN81" s="135" t="s">
        <v>100</v>
      </c>
      <c r="AO81" s="135"/>
      <c r="AP81" s="135"/>
      <c r="AQ81" s="135"/>
      <c r="AR81" s="135"/>
      <c r="AS81" s="135"/>
      <c r="AT81" s="135"/>
      <c r="AU81" s="135"/>
      <c r="AV81" s="135"/>
      <c r="AW81" s="135"/>
      <c r="AX81" s="135"/>
      <c r="AY81" s="135"/>
      <c r="AZ81" s="135"/>
      <c r="BA81" s="135"/>
      <c r="BB81" s="135"/>
      <c r="BC81" s="135"/>
      <c r="BD81" s="135"/>
      <c r="BE81" s="127"/>
      <c r="BF81" s="127"/>
      <c r="BG81" s="127"/>
      <c r="BH81" s="127"/>
      <c r="BI81" s="127"/>
      <c r="BJ81" s="127"/>
      <c r="BK81" s="127"/>
      <c r="BL81" s="127"/>
      <c r="BM81" s="127"/>
      <c r="BN81" s="127"/>
      <c r="BO81" s="127"/>
      <c r="BP81" s="127"/>
      <c r="BQ81" s="127"/>
      <c r="BR81" s="127"/>
      <c r="BS81" s="127"/>
      <c r="BT81" s="127"/>
      <c r="BU81" s="127"/>
      <c r="BV81" s="127"/>
      <c r="BW81" s="127"/>
      <c r="BX81" s="127"/>
      <c r="BY81" s="127"/>
      <c r="BZ81" s="127"/>
      <c r="CA81" s="127"/>
      <c r="CB81" s="127"/>
      <c r="CC81" s="127"/>
      <c r="CD81" s="127"/>
      <c r="CE81" s="127"/>
      <c r="CF81" s="127"/>
      <c r="CG81" s="127"/>
      <c r="CH81" s="127"/>
      <c r="CI81" s="127"/>
      <c r="CJ81" s="127"/>
      <c r="CK81" s="127"/>
      <c r="CL81" s="127"/>
      <c r="CM81" s="127"/>
      <c r="CN81" s="127"/>
      <c r="CO81" s="127"/>
    </row>
    <row r="82" spans="1:93" ht="10" customHeight="1" x14ac:dyDescent="0.3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row>
    <row r="83" spans="1:93" ht="16" customHeight="1" x14ac:dyDescent="0.35">
      <c r="A83" s="77" t="s">
        <v>289</v>
      </c>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c r="AK83" s="77"/>
      <c r="AL83" s="77"/>
      <c r="AM83" s="77"/>
      <c r="AN83" s="77"/>
      <c r="AO83" s="77"/>
      <c r="AP83" s="77"/>
      <c r="AQ83" s="77"/>
      <c r="AR83" s="77"/>
      <c r="AS83" s="77"/>
      <c r="AT83" s="77"/>
      <c r="AU83" s="77"/>
      <c r="AV83" s="77"/>
      <c r="AW83" s="77"/>
      <c r="AX83" s="77"/>
      <c r="AY83" s="77"/>
      <c r="AZ83" s="77"/>
      <c r="BA83" s="77"/>
      <c r="BB83" s="77"/>
      <c r="BC83" s="77"/>
      <c r="BD83" s="77"/>
      <c r="BE83" s="77"/>
      <c r="BF83" s="77"/>
      <c r="BG83" s="77"/>
      <c r="BH83" s="77"/>
      <c r="BI83" s="77"/>
      <c r="BJ83" s="77"/>
      <c r="BK83" s="77"/>
      <c r="BL83" s="77"/>
      <c r="BM83" s="77"/>
      <c r="BN83" s="77"/>
      <c r="BO83" s="77"/>
      <c r="BP83" s="77"/>
      <c r="BQ83" s="77"/>
      <c r="BR83" s="77"/>
      <c r="BS83" s="77"/>
      <c r="BT83" s="77"/>
      <c r="BU83" s="77"/>
      <c r="BV83" s="77"/>
      <c r="BW83" s="77"/>
      <c r="BX83" s="77"/>
      <c r="BY83" s="77"/>
      <c r="BZ83" s="77"/>
      <c r="CA83" s="77"/>
      <c r="CB83" s="77"/>
      <c r="CC83" s="77"/>
      <c r="CD83" s="77"/>
      <c r="CE83" s="77"/>
      <c r="CF83" s="77"/>
      <c r="CG83" s="77"/>
      <c r="CH83" s="77"/>
      <c r="CI83" s="77"/>
      <c r="CJ83" s="77"/>
      <c r="CK83" s="77"/>
      <c r="CL83" s="77"/>
      <c r="CM83" s="77"/>
      <c r="CN83" s="77"/>
      <c r="CO83" s="77"/>
    </row>
    <row r="84" spans="1:93" ht="4" customHeight="1" x14ac:dyDescent="0.35">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c r="BH84" s="46"/>
      <c r="BI84" s="46"/>
      <c r="BJ84" s="46"/>
      <c r="BK84" s="46"/>
      <c r="BL84" s="46"/>
      <c r="BM84" s="46"/>
      <c r="BN84" s="46"/>
      <c r="BO84" s="46"/>
      <c r="BP84" s="46"/>
      <c r="BQ84" s="46"/>
      <c r="BR84" s="46"/>
      <c r="BS84" s="46"/>
      <c r="BT84" s="46"/>
      <c r="BU84" s="46"/>
      <c r="BV84" s="46"/>
      <c r="BW84" s="46"/>
      <c r="BX84" s="46"/>
      <c r="BY84" s="46"/>
      <c r="BZ84" s="46"/>
      <c r="CA84" s="46"/>
      <c r="CB84" s="46"/>
      <c r="CC84" s="46"/>
      <c r="CD84" s="46"/>
      <c r="CE84" s="46"/>
      <c r="CF84" s="46"/>
      <c r="CG84" s="46"/>
      <c r="CH84" s="46"/>
      <c r="CI84" s="46"/>
      <c r="CJ84" s="46"/>
      <c r="CK84" s="46"/>
      <c r="CL84" s="46"/>
      <c r="CM84" s="46"/>
      <c r="CN84" s="46"/>
      <c r="CO84" s="46"/>
    </row>
    <row r="85" spans="1:93" ht="13" customHeight="1" x14ac:dyDescent="0.35">
      <c r="A85" s="146" t="s">
        <v>133</v>
      </c>
      <c r="B85" s="147"/>
      <c r="C85" s="147"/>
      <c r="D85" s="147"/>
      <c r="E85" s="147"/>
      <c r="F85" s="147"/>
      <c r="G85" s="147"/>
      <c r="H85" s="147"/>
      <c r="I85" s="147"/>
      <c r="J85" s="147"/>
      <c r="K85" s="147"/>
      <c r="L85" s="147"/>
      <c r="M85" s="148"/>
      <c r="N85" s="152" t="s">
        <v>166</v>
      </c>
      <c r="O85" s="153"/>
      <c r="P85" s="153"/>
      <c r="Q85" s="153"/>
      <c r="R85" s="153"/>
      <c r="S85" s="153"/>
      <c r="T85" s="153"/>
      <c r="U85" s="153"/>
      <c r="V85" s="153"/>
      <c r="W85" s="153"/>
      <c r="X85" s="153"/>
      <c r="Y85" s="153"/>
      <c r="Z85" s="153"/>
      <c r="AA85" s="153"/>
      <c r="AB85" s="153"/>
      <c r="AC85" s="153"/>
      <c r="AD85" s="153"/>
      <c r="AE85" s="153"/>
      <c r="AF85" s="153"/>
      <c r="AG85" s="153"/>
      <c r="AH85" s="153"/>
      <c r="AI85" s="153"/>
      <c r="AJ85" s="153"/>
      <c r="AK85" s="153"/>
      <c r="AL85" s="153"/>
      <c r="AM85" s="153"/>
      <c r="AN85" s="153"/>
      <c r="AO85" s="153"/>
      <c r="AP85" s="153"/>
      <c r="AQ85" s="153"/>
      <c r="AR85" s="153"/>
      <c r="AS85" s="153"/>
      <c r="AT85" s="153"/>
      <c r="AU85" s="153"/>
      <c r="AV85" s="153"/>
      <c r="AW85" s="153"/>
      <c r="AX85" s="153"/>
      <c r="AY85" s="153"/>
      <c r="AZ85" s="153"/>
      <c r="BA85" s="154"/>
      <c r="BB85" s="152" t="s">
        <v>167</v>
      </c>
      <c r="BC85" s="153"/>
      <c r="BD85" s="153"/>
      <c r="BE85" s="153"/>
      <c r="BF85" s="153"/>
      <c r="BG85" s="153"/>
      <c r="BH85" s="153"/>
      <c r="BI85" s="153"/>
      <c r="BJ85" s="153"/>
      <c r="BK85" s="153"/>
      <c r="BL85" s="153"/>
      <c r="BM85" s="153"/>
      <c r="BN85" s="153"/>
      <c r="BO85" s="153"/>
      <c r="BP85" s="153"/>
      <c r="BQ85" s="153"/>
      <c r="BR85" s="153"/>
      <c r="BS85" s="153"/>
      <c r="BT85" s="153"/>
      <c r="BU85" s="153"/>
      <c r="BV85" s="153"/>
      <c r="BW85" s="153"/>
      <c r="BX85" s="153"/>
      <c r="BY85" s="153"/>
      <c r="BZ85" s="153"/>
      <c r="CA85" s="153"/>
      <c r="CB85" s="153"/>
      <c r="CC85" s="153"/>
      <c r="CD85" s="153"/>
      <c r="CE85" s="153"/>
      <c r="CF85" s="153"/>
      <c r="CG85" s="153"/>
      <c r="CH85" s="153"/>
      <c r="CI85" s="153"/>
      <c r="CJ85" s="153"/>
      <c r="CK85" s="153"/>
      <c r="CL85" s="153"/>
      <c r="CM85" s="153"/>
      <c r="CN85" s="153"/>
      <c r="CO85" s="154"/>
    </row>
    <row r="86" spans="1:93" ht="13" customHeight="1" x14ac:dyDescent="0.35">
      <c r="A86" s="149"/>
      <c r="B86" s="150"/>
      <c r="C86" s="150"/>
      <c r="D86" s="150"/>
      <c r="E86" s="150"/>
      <c r="F86" s="150"/>
      <c r="G86" s="150"/>
      <c r="H86" s="150"/>
      <c r="I86" s="150"/>
      <c r="J86" s="150"/>
      <c r="K86" s="150"/>
      <c r="L86" s="150"/>
      <c r="M86" s="151"/>
      <c r="N86" s="152" t="s">
        <v>67</v>
      </c>
      <c r="O86" s="153"/>
      <c r="P86" s="153"/>
      <c r="Q86" s="153"/>
      <c r="R86" s="153"/>
      <c r="S86" s="153"/>
      <c r="T86" s="153"/>
      <c r="U86" s="153"/>
      <c r="V86" s="153"/>
      <c r="W86" s="153"/>
      <c r="X86" s="153"/>
      <c r="Y86" s="153"/>
      <c r="Z86" s="153"/>
      <c r="AA86" s="153"/>
      <c r="AB86" s="153"/>
      <c r="AC86" s="153"/>
      <c r="AD86" s="153"/>
      <c r="AE86" s="153"/>
      <c r="AF86" s="153"/>
      <c r="AG86" s="154"/>
      <c r="AH86" s="152" t="s">
        <v>68</v>
      </c>
      <c r="AI86" s="153"/>
      <c r="AJ86" s="153"/>
      <c r="AK86" s="153"/>
      <c r="AL86" s="153"/>
      <c r="AM86" s="153"/>
      <c r="AN86" s="153"/>
      <c r="AO86" s="153"/>
      <c r="AP86" s="153"/>
      <c r="AQ86" s="153"/>
      <c r="AR86" s="153"/>
      <c r="AS86" s="153"/>
      <c r="AT86" s="153"/>
      <c r="AU86" s="153"/>
      <c r="AV86" s="153"/>
      <c r="AW86" s="153"/>
      <c r="AX86" s="153"/>
      <c r="AY86" s="153"/>
      <c r="AZ86" s="153"/>
      <c r="BA86" s="154"/>
      <c r="BB86" s="152" t="s">
        <v>67</v>
      </c>
      <c r="BC86" s="153"/>
      <c r="BD86" s="153"/>
      <c r="BE86" s="153"/>
      <c r="BF86" s="153"/>
      <c r="BG86" s="153"/>
      <c r="BH86" s="153"/>
      <c r="BI86" s="153"/>
      <c r="BJ86" s="153"/>
      <c r="BK86" s="153"/>
      <c r="BL86" s="153"/>
      <c r="BM86" s="153"/>
      <c r="BN86" s="153"/>
      <c r="BO86" s="153"/>
      <c r="BP86" s="153"/>
      <c r="BQ86" s="153"/>
      <c r="BR86" s="153"/>
      <c r="BS86" s="153"/>
      <c r="BT86" s="153"/>
      <c r="BU86" s="154"/>
      <c r="BV86" s="152" t="s">
        <v>68</v>
      </c>
      <c r="BW86" s="153"/>
      <c r="BX86" s="153"/>
      <c r="BY86" s="153"/>
      <c r="BZ86" s="153"/>
      <c r="CA86" s="153"/>
      <c r="CB86" s="153"/>
      <c r="CC86" s="153"/>
      <c r="CD86" s="153"/>
      <c r="CE86" s="153"/>
      <c r="CF86" s="153"/>
      <c r="CG86" s="153"/>
      <c r="CH86" s="153"/>
      <c r="CI86" s="153"/>
      <c r="CJ86" s="153"/>
      <c r="CK86" s="153"/>
      <c r="CL86" s="153"/>
      <c r="CM86" s="153"/>
      <c r="CN86" s="153"/>
      <c r="CO86" s="154"/>
    </row>
    <row r="87" spans="1:93" ht="13" customHeight="1" x14ac:dyDescent="0.35">
      <c r="A87" s="137" t="s">
        <v>163</v>
      </c>
      <c r="B87" s="94"/>
      <c r="C87" s="94"/>
      <c r="D87" s="94"/>
      <c r="E87" s="94"/>
      <c r="F87" s="94"/>
      <c r="G87" s="94"/>
      <c r="H87" s="94"/>
      <c r="I87" s="94"/>
      <c r="J87" s="94"/>
      <c r="K87" s="94"/>
      <c r="L87" s="94"/>
      <c r="M87" s="94"/>
      <c r="N87" s="138"/>
      <c r="O87" s="139"/>
      <c r="P87" s="139"/>
      <c r="Q87" s="139"/>
      <c r="R87" s="139"/>
      <c r="S87" s="139"/>
      <c r="T87" s="139"/>
      <c r="U87" s="139"/>
      <c r="V87" s="139"/>
      <c r="W87" s="139"/>
      <c r="X87" s="139"/>
      <c r="Y87" s="139"/>
      <c r="Z87" s="139"/>
      <c r="AA87" s="139"/>
      <c r="AB87" s="139"/>
      <c r="AC87" s="139"/>
      <c r="AD87" s="139"/>
      <c r="AE87" s="139"/>
      <c r="AF87" s="139"/>
      <c r="AG87" s="139"/>
      <c r="AH87" s="139"/>
      <c r="AI87" s="139"/>
      <c r="AJ87" s="139"/>
      <c r="AK87" s="139"/>
      <c r="AL87" s="139"/>
      <c r="AM87" s="139"/>
      <c r="AN87" s="139"/>
      <c r="AO87" s="139"/>
      <c r="AP87" s="139"/>
      <c r="AQ87" s="139"/>
      <c r="AR87" s="139"/>
      <c r="AS87" s="139"/>
      <c r="AT87" s="139"/>
      <c r="AU87" s="139"/>
      <c r="AV87" s="139"/>
      <c r="AW87" s="139"/>
      <c r="AX87" s="139"/>
      <c r="AY87" s="139"/>
      <c r="AZ87" s="139"/>
      <c r="BA87" s="140"/>
      <c r="BB87" s="138"/>
      <c r="BC87" s="139"/>
      <c r="BD87" s="139"/>
      <c r="BE87" s="139"/>
      <c r="BF87" s="139"/>
      <c r="BG87" s="139"/>
      <c r="BH87" s="139"/>
      <c r="BI87" s="139"/>
      <c r="BJ87" s="139"/>
      <c r="BK87" s="139"/>
      <c r="BL87" s="139"/>
      <c r="BM87" s="139"/>
      <c r="BN87" s="139"/>
      <c r="BO87" s="139"/>
      <c r="BP87" s="139"/>
      <c r="BQ87" s="139"/>
      <c r="BR87" s="139"/>
      <c r="BS87" s="139"/>
      <c r="BT87" s="139"/>
      <c r="BU87" s="139"/>
      <c r="BV87" s="141"/>
      <c r="BW87" s="141"/>
      <c r="BX87" s="141"/>
      <c r="BY87" s="141"/>
      <c r="BZ87" s="141"/>
      <c r="CA87" s="141"/>
      <c r="CB87" s="141"/>
      <c r="CC87" s="141"/>
      <c r="CD87" s="141"/>
      <c r="CE87" s="141"/>
      <c r="CF87" s="141"/>
      <c r="CG87" s="141"/>
      <c r="CH87" s="141"/>
      <c r="CI87" s="141"/>
      <c r="CJ87" s="141"/>
      <c r="CK87" s="141"/>
      <c r="CL87" s="141"/>
      <c r="CM87" s="141"/>
      <c r="CN87" s="141"/>
      <c r="CO87" s="142"/>
    </row>
    <row r="88" spans="1:93" ht="13" customHeight="1" x14ac:dyDescent="0.35">
      <c r="A88" s="137" t="s">
        <v>90</v>
      </c>
      <c r="B88" s="94"/>
      <c r="C88" s="94"/>
      <c r="D88" s="94"/>
      <c r="E88" s="94"/>
      <c r="F88" s="94"/>
      <c r="G88" s="94"/>
      <c r="H88" s="94"/>
      <c r="I88" s="94"/>
      <c r="J88" s="94"/>
      <c r="K88" s="94"/>
      <c r="L88" s="94"/>
      <c r="M88" s="94"/>
      <c r="N88" s="143"/>
      <c r="O88" s="144"/>
      <c r="P88" s="144"/>
      <c r="Q88" s="144"/>
      <c r="R88" s="144"/>
      <c r="S88" s="144"/>
      <c r="T88" s="144"/>
      <c r="U88" s="144"/>
      <c r="V88" s="144"/>
      <c r="W88" s="144"/>
      <c r="X88" s="144"/>
      <c r="Y88" s="144"/>
      <c r="Z88" s="144"/>
      <c r="AA88" s="144"/>
      <c r="AB88" s="144"/>
      <c r="AC88" s="144"/>
      <c r="AD88" s="144"/>
      <c r="AE88" s="144"/>
      <c r="AF88" s="144"/>
      <c r="AG88" s="144"/>
      <c r="AH88" s="144"/>
      <c r="AI88" s="144"/>
      <c r="AJ88" s="144"/>
      <c r="AK88" s="144"/>
      <c r="AL88" s="144"/>
      <c r="AM88" s="144"/>
      <c r="AN88" s="144"/>
      <c r="AO88" s="144"/>
      <c r="AP88" s="144"/>
      <c r="AQ88" s="144"/>
      <c r="AR88" s="144"/>
      <c r="AS88" s="144"/>
      <c r="AT88" s="144"/>
      <c r="AU88" s="144"/>
      <c r="AV88" s="144"/>
      <c r="AW88" s="144"/>
      <c r="AX88" s="144"/>
      <c r="AY88" s="144"/>
      <c r="AZ88" s="144"/>
      <c r="BA88" s="145"/>
      <c r="BB88" s="143"/>
      <c r="BC88" s="144"/>
      <c r="BD88" s="144"/>
      <c r="BE88" s="144"/>
      <c r="BF88" s="144"/>
      <c r="BG88" s="144"/>
      <c r="BH88" s="144"/>
      <c r="BI88" s="144"/>
      <c r="BJ88" s="144"/>
      <c r="BK88" s="144"/>
      <c r="BL88" s="144"/>
      <c r="BM88" s="144"/>
      <c r="BN88" s="144"/>
      <c r="BO88" s="144"/>
      <c r="BP88" s="144"/>
      <c r="BQ88" s="144"/>
      <c r="BR88" s="144"/>
      <c r="BS88" s="144"/>
      <c r="BT88" s="144"/>
      <c r="BU88" s="144"/>
      <c r="BV88" s="144"/>
      <c r="BW88" s="144"/>
      <c r="BX88" s="144"/>
      <c r="BY88" s="144"/>
      <c r="BZ88" s="144"/>
      <c r="CA88" s="144"/>
      <c r="CB88" s="144"/>
      <c r="CC88" s="144"/>
      <c r="CD88" s="144"/>
      <c r="CE88" s="144"/>
      <c r="CF88" s="144"/>
      <c r="CG88" s="144"/>
      <c r="CH88" s="144"/>
      <c r="CI88" s="144"/>
      <c r="CJ88" s="144"/>
      <c r="CK88" s="144"/>
      <c r="CL88" s="144"/>
      <c r="CM88" s="144"/>
      <c r="CN88" s="144"/>
      <c r="CO88" s="145"/>
    </row>
    <row r="89" spans="1:93" ht="13" customHeight="1" x14ac:dyDescent="0.35">
      <c r="A89" s="137" t="s">
        <v>147</v>
      </c>
      <c r="B89" s="94"/>
      <c r="C89" s="94"/>
      <c r="D89" s="94"/>
      <c r="E89" s="94"/>
      <c r="F89" s="94"/>
      <c r="G89" s="94"/>
      <c r="H89" s="94"/>
      <c r="I89" s="94"/>
      <c r="J89" s="94"/>
      <c r="K89" s="94"/>
      <c r="L89" s="94"/>
      <c r="M89" s="94"/>
      <c r="N89" s="155"/>
      <c r="O89" s="156"/>
      <c r="P89" s="156"/>
      <c r="Q89" s="156"/>
      <c r="R89" s="156"/>
      <c r="S89" s="156"/>
      <c r="T89" s="156"/>
      <c r="U89" s="156"/>
      <c r="V89" s="156"/>
      <c r="W89" s="156"/>
      <c r="X89" s="156"/>
      <c r="Y89" s="156"/>
      <c r="Z89" s="156"/>
      <c r="AA89" s="156"/>
      <c r="AB89" s="156"/>
      <c r="AC89" s="156"/>
      <c r="AD89" s="156"/>
      <c r="AE89" s="156"/>
      <c r="AF89" s="156"/>
      <c r="AG89" s="157"/>
      <c r="AH89" s="155"/>
      <c r="AI89" s="156"/>
      <c r="AJ89" s="156"/>
      <c r="AK89" s="156"/>
      <c r="AL89" s="156"/>
      <c r="AM89" s="156"/>
      <c r="AN89" s="156"/>
      <c r="AO89" s="156"/>
      <c r="AP89" s="156"/>
      <c r="AQ89" s="156"/>
      <c r="AR89" s="156"/>
      <c r="AS89" s="156"/>
      <c r="AT89" s="156"/>
      <c r="AU89" s="156"/>
      <c r="AV89" s="156"/>
      <c r="AW89" s="156"/>
      <c r="AX89" s="156"/>
      <c r="AY89" s="156"/>
      <c r="AZ89" s="156"/>
      <c r="BA89" s="157"/>
      <c r="BB89" s="155"/>
      <c r="BC89" s="156"/>
      <c r="BD89" s="156"/>
      <c r="BE89" s="156"/>
      <c r="BF89" s="156"/>
      <c r="BG89" s="156"/>
      <c r="BH89" s="156"/>
      <c r="BI89" s="156"/>
      <c r="BJ89" s="156"/>
      <c r="BK89" s="156"/>
      <c r="BL89" s="156"/>
      <c r="BM89" s="156"/>
      <c r="BN89" s="156"/>
      <c r="BO89" s="156"/>
      <c r="BP89" s="156"/>
      <c r="BQ89" s="156"/>
      <c r="BR89" s="156"/>
      <c r="BS89" s="156"/>
      <c r="BT89" s="156"/>
      <c r="BU89" s="157"/>
      <c r="BV89" s="155"/>
      <c r="BW89" s="156"/>
      <c r="BX89" s="156"/>
      <c r="BY89" s="156"/>
      <c r="BZ89" s="156"/>
      <c r="CA89" s="156"/>
      <c r="CB89" s="156"/>
      <c r="CC89" s="156"/>
      <c r="CD89" s="156"/>
      <c r="CE89" s="156"/>
      <c r="CF89" s="156"/>
      <c r="CG89" s="156"/>
      <c r="CH89" s="156"/>
      <c r="CI89" s="156"/>
      <c r="CJ89" s="156"/>
      <c r="CK89" s="156"/>
      <c r="CL89" s="156"/>
      <c r="CM89" s="156"/>
      <c r="CN89" s="156"/>
      <c r="CO89" s="157"/>
    </row>
    <row r="90" spans="1:93" ht="13" customHeight="1" x14ac:dyDescent="0.35">
      <c r="A90" s="137" t="s">
        <v>148</v>
      </c>
      <c r="B90" s="94"/>
      <c r="C90" s="94"/>
      <c r="D90" s="94"/>
      <c r="E90" s="94"/>
      <c r="F90" s="94"/>
      <c r="G90" s="94"/>
      <c r="H90" s="94"/>
      <c r="I90" s="94"/>
      <c r="J90" s="94"/>
      <c r="K90" s="94"/>
      <c r="L90" s="94"/>
      <c r="M90" s="94"/>
      <c r="N90" s="158"/>
      <c r="O90" s="159"/>
      <c r="P90" s="159"/>
      <c r="Q90" s="159"/>
      <c r="R90" s="159"/>
      <c r="S90" s="159"/>
      <c r="T90" s="159"/>
      <c r="U90" s="159"/>
      <c r="V90" s="159"/>
      <c r="W90" s="159"/>
      <c r="X90" s="141"/>
      <c r="Y90" s="141"/>
      <c r="Z90" s="141"/>
      <c r="AA90" s="141"/>
      <c r="AB90" s="141"/>
      <c r="AC90" s="141"/>
      <c r="AD90" s="141"/>
      <c r="AE90" s="141"/>
      <c r="AF90" s="141"/>
      <c r="AG90" s="142"/>
      <c r="AH90" s="158"/>
      <c r="AI90" s="159"/>
      <c r="AJ90" s="159"/>
      <c r="AK90" s="159"/>
      <c r="AL90" s="159"/>
      <c r="AM90" s="159"/>
      <c r="AN90" s="159"/>
      <c r="AO90" s="159"/>
      <c r="AP90" s="159"/>
      <c r="AQ90" s="159"/>
      <c r="AR90" s="141"/>
      <c r="AS90" s="141"/>
      <c r="AT90" s="141"/>
      <c r="AU90" s="141"/>
      <c r="AV90" s="141"/>
      <c r="AW90" s="141"/>
      <c r="AX90" s="141"/>
      <c r="AY90" s="141"/>
      <c r="AZ90" s="141"/>
      <c r="BA90" s="142"/>
      <c r="BB90" s="158"/>
      <c r="BC90" s="159"/>
      <c r="BD90" s="159"/>
      <c r="BE90" s="159"/>
      <c r="BF90" s="159"/>
      <c r="BG90" s="159"/>
      <c r="BH90" s="159"/>
      <c r="BI90" s="159"/>
      <c r="BJ90" s="159"/>
      <c r="BK90" s="159"/>
      <c r="BL90" s="141"/>
      <c r="BM90" s="141"/>
      <c r="BN90" s="141"/>
      <c r="BO90" s="141"/>
      <c r="BP90" s="141"/>
      <c r="BQ90" s="141"/>
      <c r="BR90" s="141"/>
      <c r="BS90" s="141"/>
      <c r="BT90" s="141"/>
      <c r="BU90" s="142"/>
      <c r="BV90" s="158"/>
      <c r="BW90" s="159"/>
      <c r="BX90" s="159"/>
      <c r="BY90" s="159"/>
      <c r="BZ90" s="159"/>
      <c r="CA90" s="159"/>
      <c r="CB90" s="159"/>
      <c r="CC90" s="159"/>
      <c r="CD90" s="159"/>
      <c r="CE90" s="159"/>
      <c r="CF90" s="141"/>
      <c r="CG90" s="141"/>
      <c r="CH90" s="141"/>
      <c r="CI90" s="141"/>
      <c r="CJ90" s="141"/>
      <c r="CK90" s="141"/>
      <c r="CL90" s="141"/>
      <c r="CM90" s="141"/>
      <c r="CN90" s="141"/>
      <c r="CO90" s="142"/>
    </row>
    <row r="91" spans="1:93" ht="13" customHeight="1" x14ac:dyDescent="0.35">
      <c r="A91" s="137" t="s">
        <v>134</v>
      </c>
      <c r="B91" s="94"/>
      <c r="C91" s="94"/>
      <c r="D91" s="94"/>
      <c r="E91" s="94"/>
      <c r="F91" s="94"/>
      <c r="G91" s="94"/>
      <c r="H91" s="94"/>
      <c r="I91" s="94"/>
      <c r="J91" s="94"/>
      <c r="K91" s="94"/>
      <c r="L91" s="94"/>
      <c r="M91" s="94"/>
      <c r="N91" s="160"/>
      <c r="O91" s="161"/>
      <c r="P91" s="161"/>
      <c r="Q91" s="161"/>
      <c r="R91" s="161"/>
      <c r="S91" s="161"/>
      <c r="T91" s="161"/>
      <c r="U91" s="161"/>
      <c r="V91" s="161"/>
      <c r="W91" s="161"/>
      <c r="X91" s="141"/>
      <c r="Y91" s="141"/>
      <c r="Z91" s="141"/>
      <c r="AA91" s="141"/>
      <c r="AB91" s="141"/>
      <c r="AC91" s="141"/>
      <c r="AD91" s="141"/>
      <c r="AE91" s="141"/>
      <c r="AF91" s="141"/>
      <c r="AG91" s="142"/>
      <c r="AH91" s="160"/>
      <c r="AI91" s="161"/>
      <c r="AJ91" s="161"/>
      <c r="AK91" s="161"/>
      <c r="AL91" s="161"/>
      <c r="AM91" s="161"/>
      <c r="AN91" s="161"/>
      <c r="AO91" s="161"/>
      <c r="AP91" s="161"/>
      <c r="AQ91" s="161"/>
      <c r="AR91" s="141"/>
      <c r="AS91" s="141"/>
      <c r="AT91" s="141"/>
      <c r="AU91" s="141"/>
      <c r="AV91" s="141"/>
      <c r="AW91" s="141"/>
      <c r="AX91" s="141"/>
      <c r="AY91" s="141"/>
      <c r="AZ91" s="141"/>
      <c r="BA91" s="142"/>
      <c r="BB91" s="160"/>
      <c r="BC91" s="161"/>
      <c r="BD91" s="161"/>
      <c r="BE91" s="161"/>
      <c r="BF91" s="161"/>
      <c r="BG91" s="161"/>
      <c r="BH91" s="161"/>
      <c r="BI91" s="161"/>
      <c r="BJ91" s="161"/>
      <c r="BK91" s="161"/>
      <c r="BL91" s="141"/>
      <c r="BM91" s="141"/>
      <c r="BN91" s="141"/>
      <c r="BO91" s="141"/>
      <c r="BP91" s="141"/>
      <c r="BQ91" s="141"/>
      <c r="BR91" s="141"/>
      <c r="BS91" s="141"/>
      <c r="BT91" s="141"/>
      <c r="BU91" s="142"/>
      <c r="BV91" s="160"/>
      <c r="BW91" s="161"/>
      <c r="BX91" s="161"/>
      <c r="BY91" s="161"/>
      <c r="BZ91" s="161"/>
      <c r="CA91" s="161"/>
      <c r="CB91" s="161"/>
      <c r="CC91" s="161"/>
      <c r="CD91" s="161"/>
      <c r="CE91" s="161"/>
      <c r="CF91" s="141"/>
      <c r="CG91" s="141"/>
      <c r="CH91" s="141"/>
      <c r="CI91" s="141"/>
      <c r="CJ91" s="141"/>
      <c r="CK91" s="141"/>
      <c r="CL91" s="141"/>
      <c r="CM91" s="141"/>
      <c r="CN91" s="141"/>
      <c r="CO91" s="142"/>
    </row>
    <row r="92" spans="1:93" ht="13" customHeight="1" x14ac:dyDescent="0.35">
      <c r="A92" s="137" t="s">
        <v>135</v>
      </c>
      <c r="B92" s="94"/>
      <c r="C92" s="94"/>
      <c r="D92" s="94"/>
      <c r="E92" s="94"/>
      <c r="F92" s="94"/>
      <c r="G92" s="94"/>
      <c r="H92" s="94"/>
      <c r="I92" s="94"/>
      <c r="J92" s="94"/>
      <c r="K92" s="94"/>
      <c r="L92" s="94"/>
      <c r="M92" s="94"/>
      <c r="N92" s="160"/>
      <c r="O92" s="161"/>
      <c r="P92" s="161"/>
      <c r="Q92" s="161"/>
      <c r="R92" s="161"/>
      <c r="S92" s="161"/>
      <c r="T92" s="161"/>
      <c r="U92" s="161"/>
      <c r="V92" s="161"/>
      <c r="W92" s="161"/>
      <c r="X92" s="141"/>
      <c r="Y92" s="141"/>
      <c r="Z92" s="141"/>
      <c r="AA92" s="141"/>
      <c r="AB92" s="141"/>
      <c r="AC92" s="141"/>
      <c r="AD92" s="141"/>
      <c r="AE92" s="141"/>
      <c r="AF92" s="141"/>
      <c r="AG92" s="142"/>
      <c r="AH92" s="160"/>
      <c r="AI92" s="161"/>
      <c r="AJ92" s="161"/>
      <c r="AK92" s="161"/>
      <c r="AL92" s="161"/>
      <c r="AM92" s="161"/>
      <c r="AN92" s="161"/>
      <c r="AO92" s="161"/>
      <c r="AP92" s="161"/>
      <c r="AQ92" s="161"/>
      <c r="AR92" s="141"/>
      <c r="AS92" s="141"/>
      <c r="AT92" s="141"/>
      <c r="AU92" s="141"/>
      <c r="AV92" s="141"/>
      <c r="AW92" s="141"/>
      <c r="AX92" s="141"/>
      <c r="AY92" s="141"/>
      <c r="AZ92" s="141"/>
      <c r="BA92" s="142"/>
      <c r="BB92" s="160"/>
      <c r="BC92" s="161"/>
      <c r="BD92" s="161"/>
      <c r="BE92" s="161"/>
      <c r="BF92" s="161"/>
      <c r="BG92" s="161"/>
      <c r="BH92" s="161"/>
      <c r="BI92" s="161"/>
      <c r="BJ92" s="161"/>
      <c r="BK92" s="161"/>
      <c r="BL92" s="141"/>
      <c r="BM92" s="141"/>
      <c r="BN92" s="141"/>
      <c r="BO92" s="141"/>
      <c r="BP92" s="141"/>
      <c r="BQ92" s="141"/>
      <c r="BR92" s="141"/>
      <c r="BS92" s="141"/>
      <c r="BT92" s="141"/>
      <c r="BU92" s="142"/>
      <c r="BV92" s="160"/>
      <c r="BW92" s="161"/>
      <c r="BX92" s="161"/>
      <c r="BY92" s="161"/>
      <c r="BZ92" s="161"/>
      <c r="CA92" s="161"/>
      <c r="CB92" s="161"/>
      <c r="CC92" s="161"/>
      <c r="CD92" s="161"/>
      <c r="CE92" s="161"/>
      <c r="CF92" s="141"/>
      <c r="CG92" s="141"/>
      <c r="CH92" s="141"/>
      <c r="CI92" s="141"/>
      <c r="CJ92" s="141"/>
      <c r="CK92" s="141"/>
      <c r="CL92" s="141"/>
      <c r="CM92" s="141"/>
      <c r="CN92" s="141"/>
      <c r="CO92" s="142"/>
    </row>
    <row r="93" spans="1:93" ht="13" customHeight="1" x14ac:dyDescent="0.35">
      <c r="A93" s="137" t="s">
        <v>136</v>
      </c>
      <c r="B93" s="94"/>
      <c r="C93" s="94"/>
      <c r="D93" s="94"/>
      <c r="E93" s="94"/>
      <c r="F93" s="94"/>
      <c r="G93" s="94"/>
      <c r="H93" s="94"/>
      <c r="I93" s="94"/>
      <c r="J93" s="94"/>
      <c r="K93" s="94"/>
      <c r="L93" s="94"/>
      <c r="M93" s="94"/>
      <c r="N93" s="160"/>
      <c r="O93" s="161"/>
      <c r="P93" s="161"/>
      <c r="Q93" s="161"/>
      <c r="R93" s="161"/>
      <c r="S93" s="161"/>
      <c r="T93" s="161"/>
      <c r="U93" s="161"/>
      <c r="V93" s="161"/>
      <c r="W93" s="161"/>
      <c r="X93" s="141"/>
      <c r="Y93" s="141"/>
      <c r="Z93" s="141"/>
      <c r="AA93" s="141"/>
      <c r="AB93" s="141"/>
      <c r="AC93" s="141"/>
      <c r="AD93" s="141"/>
      <c r="AE93" s="141"/>
      <c r="AF93" s="141"/>
      <c r="AG93" s="142"/>
      <c r="AH93" s="160"/>
      <c r="AI93" s="161"/>
      <c r="AJ93" s="161"/>
      <c r="AK93" s="161"/>
      <c r="AL93" s="161"/>
      <c r="AM93" s="161"/>
      <c r="AN93" s="161"/>
      <c r="AO93" s="161"/>
      <c r="AP93" s="161"/>
      <c r="AQ93" s="161"/>
      <c r="AR93" s="141"/>
      <c r="AS93" s="141"/>
      <c r="AT93" s="141"/>
      <c r="AU93" s="141"/>
      <c r="AV93" s="141"/>
      <c r="AW93" s="141"/>
      <c r="AX93" s="141"/>
      <c r="AY93" s="141"/>
      <c r="AZ93" s="141"/>
      <c r="BA93" s="142"/>
      <c r="BB93" s="160"/>
      <c r="BC93" s="161"/>
      <c r="BD93" s="161"/>
      <c r="BE93" s="161"/>
      <c r="BF93" s="161"/>
      <c r="BG93" s="161"/>
      <c r="BH93" s="161"/>
      <c r="BI93" s="161"/>
      <c r="BJ93" s="161"/>
      <c r="BK93" s="161"/>
      <c r="BL93" s="141"/>
      <c r="BM93" s="141"/>
      <c r="BN93" s="141"/>
      <c r="BO93" s="141"/>
      <c r="BP93" s="141"/>
      <c r="BQ93" s="141"/>
      <c r="BR93" s="141"/>
      <c r="BS93" s="141"/>
      <c r="BT93" s="141"/>
      <c r="BU93" s="142"/>
      <c r="BV93" s="160"/>
      <c r="BW93" s="161"/>
      <c r="BX93" s="161"/>
      <c r="BY93" s="161"/>
      <c r="BZ93" s="161"/>
      <c r="CA93" s="161"/>
      <c r="CB93" s="161"/>
      <c r="CC93" s="161"/>
      <c r="CD93" s="161"/>
      <c r="CE93" s="161"/>
      <c r="CF93" s="141"/>
      <c r="CG93" s="141"/>
      <c r="CH93" s="141"/>
      <c r="CI93" s="141"/>
      <c r="CJ93" s="141"/>
      <c r="CK93" s="141"/>
      <c r="CL93" s="141"/>
      <c r="CM93" s="141"/>
      <c r="CN93" s="141"/>
      <c r="CO93" s="142"/>
    </row>
    <row r="94" spans="1:93" ht="13" customHeight="1" x14ac:dyDescent="0.35">
      <c r="A94" s="137" t="s">
        <v>137</v>
      </c>
      <c r="B94" s="94"/>
      <c r="C94" s="94"/>
      <c r="D94" s="94"/>
      <c r="E94" s="94"/>
      <c r="F94" s="94"/>
      <c r="G94" s="94"/>
      <c r="H94" s="94"/>
      <c r="I94" s="94"/>
      <c r="J94" s="94"/>
      <c r="K94" s="94"/>
      <c r="L94" s="94"/>
      <c r="M94" s="94"/>
      <c r="N94" s="160"/>
      <c r="O94" s="161"/>
      <c r="P94" s="161"/>
      <c r="Q94" s="161"/>
      <c r="R94" s="161"/>
      <c r="S94" s="161"/>
      <c r="T94" s="161"/>
      <c r="U94" s="161"/>
      <c r="V94" s="161"/>
      <c r="W94" s="161"/>
      <c r="X94" s="141"/>
      <c r="Y94" s="141"/>
      <c r="Z94" s="141"/>
      <c r="AA94" s="141"/>
      <c r="AB94" s="141"/>
      <c r="AC94" s="141"/>
      <c r="AD94" s="141"/>
      <c r="AE94" s="141"/>
      <c r="AF94" s="141"/>
      <c r="AG94" s="142"/>
      <c r="AH94" s="160"/>
      <c r="AI94" s="161"/>
      <c r="AJ94" s="161"/>
      <c r="AK94" s="161"/>
      <c r="AL94" s="161"/>
      <c r="AM94" s="161"/>
      <c r="AN94" s="161"/>
      <c r="AO94" s="161"/>
      <c r="AP94" s="161"/>
      <c r="AQ94" s="161"/>
      <c r="AR94" s="141"/>
      <c r="AS94" s="141"/>
      <c r="AT94" s="141"/>
      <c r="AU94" s="141"/>
      <c r="AV94" s="141"/>
      <c r="AW94" s="141"/>
      <c r="AX94" s="141"/>
      <c r="AY94" s="141"/>
      <c r="AZ94" s="141"/>
      <c r="BA94" s="142"/>
      <c r="BB94" s="160"/>
      <c r="BC94" s="161"/>
      <c r="BD94" s="161"/>
      <c r="BE94" s="161"/>
      <c r="BF94" s="161"/>
      <c r="BG94" s="161"/>
      <c r="BH94" s="161"/>
      <c r="BI94" s="161"/>
      <c r="BJ94" s="161"/>
      <c r="BK94" s="161"/>
      <c r="BL94" s="141"/>
      <c r="BM94" s="141"/>
      <c r="BN94" s="141"/>
      <c r="BO94" s="141"/>
      <c r="BP94" s="141"/>
      <c r="BQ94" s="141"/>
      <c r="BR94" s="141"/>
      <c r="BS94" s="141"/>
      <c r="BT94" s="141"/>
      <c r="BU94" s="142"/>
      <c r="BV94" s="160"/>
      <c r="BW94" s="161"/>
      <c r="BX94" s="161"/>
      <c r="BY94" s="161"/>
      <c r="BZ94" s="161"/>
      <c r="CA94" s="161"/>
      <c r="CB94" s="161"/>
      <c r="CC94" s="161"/>
      <c r="CD94" s="161"/>
      <c r="CE94" s="161"/>
      <c r="CF94" s="141"/>
      <c r="CG94" s="141"/>
      <c r="CH94" s="141"/>
      <c r="CI94" s="141"/>
      <c r="CJ94" s="141"/>
      <c r="CK94" s="141"/>
      <c r="CL94" s="141"/>
      <c r="CM94" s="141"/>
      <c r="CN94" s="141"/>
      <c r="CO94" s="142"/>
    </row>
    <row r="95" spans="1:93" ht="13" customHeight="1" x14ac:dyDescent="0.35">
      <c r="A95" s="137" t="s">
        <v>149</v>
      </c>
      <c r="B95" s="94"/>
      <c r="C95" s="94"/>
      <c r="D95" s="94"/>
      <c r="E95" s="94"/>
      <c r="F95" s="94"/>
      <c r="G95" s="94"/>
      <c r="H95" s="94"/>
      <c r="I95" s="94"/>
      <c r="J95" s="94"/>
      <c r="K95" s="94"/>
      <c r="L95" s="94"/>
      <c r="M95" s="94"/>
      <c r="N95" s="160"/>
      <c r="O95" s="161"/>
      <c r="P95" s="161"/>
      <c r="Q95" s="161"/>
      <c r="R95" s="161"/>
      <c r="S95" s="161"/>
      <c r="T95" s="161"/>
      <c r="U95" s="161"/>
      <c r="V95" s="161"/>
      <c r="W95" s="161"/>
      <c r="X95" s="141"/>
      <c r="Y95" s="141"/>
      <c r="Z95" s="141"/>
      <c r="AA95" s="141"/>
      <c r="AB95" s="141"/>
      <c r="AC95" s="141"/>
      <c r="AD95" s="141"/>
      <c r="AE95" s="141"/>
      <c r="AF95" s="141"/>
      <c r="AG95" s="142"/>
      <c r="AH95" s="160"/>
      <c r="AI95" s="161"/>
      <c r="AJ95" s="161"/>
      <c r="AK95" s="161"/>
      <c r="AL95" s="161"/>
      <c r="AM95" s="161"/>
      <c r="AN95" s="161"/>
      <c r="AO95" s="161"/>
      <c r="AP95" s="161"/>
      <c r="AQ95" s="161"/>
      <c r="AR95" s="141"/>
      <c r="AS95" s="141"/>
      <c r="AT95" s="141"/>
      <c r="AU95" s="141"/>
      <c r="AV95" s="141"/>
      <c r="AW95" s="141"/>
      <c r="AX95" s="141"/>
      <c r="AY95" s="141"/>
      <c r="AZ95" s="141"/>
      <c r="BA95" s="142"/>
      <c r="BB95" s="160"/>
      <c r="BC95" s="161"/>
      <c r="BD95" s="161"/>
      <c r="BE95" s="161"/>
      <c r="BF95" s="161"/>
      <c r="BG95" s="161"/>
      <c r="BH95" s="161"/>
      <c r="BI95" s="161"/>
      <c r="BJ95" s="161"/>
      <c r="BK95" s="161"/>
      <c r="BL95" s="141"/>
      <c r="BM95" s="141"/>
      <c r="BN95" s="141"/>
      <c r="BO95" s="141"/>
      <c r="BP95" s="141"/>
      <c r="BQ95" s="141"/>
      <c r="BR95" s="141"/>
      <c r="BS95" s="141"/>
      <c r="BT95" s="141"/>
      <c r="BU95" s="142"/>
      <c r="BV95" s="160"/>
      <c r="BW95" s="161"/>
      <c r="BX95" s="161"/>
      <c r="BY95" s="161"/>
      <c r="BZ95" s="161"/>
      <c r="CA95" s="161"/>
      <c r="CB95" s="161"/>
      <c r="CC95" s="161"/>
      <c r="CD95" s="161"/>
      <c r="CE95" s="161"/>
      <c r="CF95" s="141"/>
      <c r="CG95" s="141"/>
      <c r="CH95" s="141"/>
      <c r="CI95" s="141"/>
      <c r="CJ95" s="141"/>
      <c r="CK95" s="141"/>
      <c r="CL95" s="141"/>
      <c r="CM95" s="141"/>
      <c r="CN95" s="141"/>
      <c r="CO95" s="142"/>
    </row>
    <row r="96" spans="1:93" ht="13" customHeight="1" x14ac:dyDescent="0.35">
      <c r="A96" s="137" t="s">
        <v>150</v>
      </c>
      <c r="B96" s="94"/>
      <c r="C96" s="94"/>
      <c r="D96" s="94"/>
      <c r="E96" s="94"/>
      <c r="F96" s="94"/>
      <c r="G96" s="94"/>
      <c r="H96" s="94"/>
      <c r="I96" s="94"/>
      <c r="J96" s="94"/>
      <c r="K96" s="94"/>
      <c r="L96" s="94"/>
      <c r="M96" s="94"/>
      <c r="N96" s="160"/>
      <c r="O96" s="161"/>
      <c r="P96" s="161"/>
      <c r="Q96" s="161"/>
      <c r="R96" s="161"/>
      <c r="S96" s="161"/>
      <c r="T96" s="161"/>
      <c r="U96" s="161"/>
      <c r="V96" s="161"/>
      <c r="W96" s="161"/>
      <c r="X96" s="141"/>
      <c r="Y96" s="141"/>
      <c r="Z96" s="141"/>
      <c r="AA96" s="141"/>
      <c r="AB96" s="141"/>
      <c r="AC96" s="141"/>
      <c r="AD96" s="141"/>
      <c r="AE96" s="141"/>
      <c r="AF96" s="141"/>
      <c r="AG96" s="142"/>
      <c r="AH96" s="160"/>
      <c r="AI96" s="161"/>
      <c r="AJ96" s="161"/>
      <c r="AK96" s="161"/>
      <c r="AL96" s="161"/>
      <c r="AM96" s="161"/>
      <c r="AN96" s="161"/>
      <c r="AO96" s="161"/>
      <c r="AP96" s="161"/>
      <c r="AQ96" s="161"/>
      <c r="AR96" s="141"/>
      <c r="AS96" s="141"/>
      <c r="AT96" s="141"/>
      <c r="AU96" s="141"/>
      <c r="AV96" s="141"/>
      <c r="AW96" s="141"/>
      <c r="AX96" s="141"/>
      <c r="AY96" s="141"/>
      <c r="AZ96" s="141"/>
      <c r="BA96" s="142"/>
      <c r="BB96" s="160"/>
      <c r="BC96" s="161"/>
      <c r="BD96" s="161"/>
      <c r="BE96" s="161"/>
      <c r="BF96" s="161"/>
      <c r="BG96" s="161"/>
      <c r="BH96" s="161"/>
      <c r="BI96" s="161"/>
      <c r="BJ96" s="161"/>
      <c r="BK96" s="161"/>
      <c r="BL96" s="141"/>
      <c r="BM96" s="141"/>
      <c r="BN96" s="141"/>
      <c r="BO96" s="141"/>
      <c r="BP96" s="141"/>
      <c r="BQ96" s="141"/>
      <c r="BR96" s="141"/>
      <c r="BS96" s="141"/>
      <c r="BT96" s="141"/>
      <c r="BU96" s="142"/>
      <c r="BV96" s="160"/>
      <c r="BW96" s="161"/>
      <c r="BX96" s="161"/>
      <c r="BY96" s="161"/>
      <c r="BZ96" s="161"/>
      <c r="CA96" s="161"/>
      <c r="CB96" s="161"/>
      <c r="CC96" s="161"/>
      <c r="CD96" s="161"/>
      <c r="CE96" s="161"/>
      <c r="CF96" s="141"/>
      <c r="CG96" s="141"/>
      <c r="CH96" s="141"/>
      <c r="CI96" s="141"/>
      <c r="CJ96" s="141"/>
      <c r="CK96" s="141"/>
      <c r="CL96" s="141"/>
      <c r="CM96" s="141"/>
      <c r="CN96" s="141"/>
      <c r="CO96" s="142"/>
    </row>
    <row r="97" spans="1:134" ht="13" customHeight="1" x14ac:dyDescent="0.35">
      <c r="A97" s="137" t="s">
        <v>138</v>
      </c>
      <c r="B97" s="94"/>
      <c r="C97" s="94"/>
      <c r="D97" s="94"/>
      <c r="E97" s="94"/>
      <c r="F97" s="94"/>
      <c r="G97" s="94"/>
      <c r="H97" s="94"/>
      <c r="I97" s="94"/>
      <c r="J97" s="94"/>
      <c r="K97" s="94"/>
      <c r="L97" s="94"/>
      <c r="M97" s="94"/>
      <c r="N97" s="160"/>
      <c r="O97" s="161"/>
      <c r="P97" s="161"/>
      <c r="Q97" s="161"/>
      <c r="R97" s="161"/>
      <c r="S97" s="161"/>
      <c r="T97" s="161"/>
      <c r="U97" s="161"/>
      <c r="V97" s="161"/>
      <c r="W97" s="161"/>
      <c r="X97" s="141"/>
      <c r="Y97" s="141"/>
      <c r="Z97" s="141"/>
      <c r="AA97" s="141"/>
      <c r="AB97" s="141"/>
      <c r="AC97" s="141"/>
      <c r="AD97" s="141"/>
      <c r="AE97" s="141"/>
      <c r="AF97" s="141"/>
      <c r="AG97" s="142"/>
      <c r="AH97" s="160"/>
      <c r="AI97" s="161"/>
      <c r="AJ97" s="161"/>
      <c r="AK97" s="161"/>
      <c r="AL97" s="161"/>
      <c r="AM97" s="161"/>
      <c r="AN97" s="161"/>
      <c r="AO97" s="161"/>
      <c r="AP97" s="161"/>
      <c r="AQ97" s="161"/>
      <c r="AR97" s="141"/>
      <c r="AS97" s="141"/>
      <c r="AT97" s="141"/>
      <c r="AU97" s="141"/>
      <c r="AV97" s="141"/>
      <c r="AW97" s="141"/>
      <c r="AX97" s="141"/>
      <c r="AY97" s="141"/>
      <c r="AZ97" s="141"/>
      <c r="BA97" s="142"/>
      <c r="BB97" s="160"/>
      <c r="BC97" s="161"/>
      <c r="BD97" s="161"/>
      <c r="BE97" s="161"/>
      <c r="BF97" s="161"/>
      <c r="BG97" s="161"/>
      <c r="BH97" s="161"/>
      <c r="BI97" s="161"/>
      <c r="BJ97" s="161"/>
      <c r="BK97" s="161"/>
      <c r="BL97" s="141"/>
      <c r="BM97" s="141"/>
      <c r="BN97" s="141"/>
      <c r="BO97" s="141"/>
      <c r="BP97" s="141"/>
      <c r="BQ97" s="141"/>
      <c r="BR97" s="141"/>
      <c r="BS97" s="141"/>
      <c r="BT97" s="141"/>
      <c r="BU97" s="142"/>
      <c r="BV97" s="160"/>
      <c r="BW97" s="161"/>
      <c r="BX97" s="161"/>
      <c r="BY97" s="161"/>
      <c r="BZ97" s="161"/>
      <c r="CA97" s="161"/>
      <c r="CB97" s="161"/>
      <c r="CC97" s="161"/>
      <c r="CD97" s="161"/>
      <c r="CE97" s="161"/>
      <c r="CF97" s="141"/>
      <c r="CG97" s="141"/>
      <c r="CH97" s="141"/>
      <c r="CI97" s="141"/>
      <c r="CJ97" s="141"/>
      <c r="CK97" s="141"/>
      <c r="CL97" s="141"/>
      <c r="CM97" s="141"/>
      <c r="CN97" s="141"/>
      <c r="CO97" s="142"/>
    </row>
    <row r="98" spans="1:134" ht="13" customHeight="1" x14ac:dyDescent="0.35">
      <c r="A98" s="137" t="s">
        <v>139</v>
      </c>
      <c r="B98" s="94"/>
      <c r="C98" s="94"/>
      <c r="D98" s="94"/>
      <c r="E98" s="94"/>
      <c r="F98" s="94"/>
      <c r="G98" s="94"/>
      <c r="H98" s="94"/>
      <c r="I98" s="94"/>
      <c r="J98" s="94"/>
      <c r="K98" s="94"/>
      <c r="L98" s="94"/>
      <c r="M98" s="94"/>
      <c r="N98" s="155"/>
      <c r="O98" s="156"/>
      <c r="P98" s="156"/>
      <c r="Q98" s="156"/>
      <c r="R98" s="156"/>
      <c r="S98" s="156"/>
      <c r="T98" s="156"/>
      <c r="U98" s="156"/>
      <c r="V98" s="156"/>
      <c r="W98" s="156"/>
      <c r="X98" s="141"/>
      <c r="Y98" s="141"/>
      <c r="Z98" s="141"/>
      <c r="AA98" s="141"/>
      <c r="AB98" s="141"/>
      <c r="AC98" s="141"/>
      <c r="AD98" s="141"/>
      <c r="AE98" s="141"/>
      <c r="AF98" s="141"/>
      <c r="AG98" s="142"/>
      <c r="AH98" s="155"/>
      <c r="AI98" s="156"/>
      <c r="AJ98" s="156"/>
      <c r="AK98" s="156"/>
      <c r="AL98" s="156"/>
      <c r="AM98" s="156"/>
      <c r="AN98" s="156"/>
      <c r="AO98" s="156"/>
      <c r="AP98" s="156"/>
      <c r="AQ98" s="156"/>
      <c r="AR98" s="141"/>
      <c r="AS98" s="141"/>
      <c r="AT98" s="141"/>
      <c r="AU98" s="141"/>
      <c r="AV98" s="141"/>
      <c r="AW98" s="141"/>
      <c r="AX98" s="141"/>
      <c r="AY98" s="141"/>
      <c r="AZ98" s="141"/>
      <c r="BA98" s="142"/>
      <c r="BB98" s="155"/>
      <c r="BC98" s="156"/>
      <c r="BD98" s="156"/>
      <c r="BE98" s="156"/>
      <c r="BF98" s="156"/>
      <c r="BG98" s="156"/>
      <c r="BH98" s="156"/>
      <c r="BI98" s="156"/>
      <c r="BJ98" s="156"/>
      <c r="BK98" s="156"/>
      <c r="BL98" s="141"/>
      <c r="BM98" s="141"/>
      <c r="BN98" s="141"/>
      <c r="BO98" s="141"/>
      <c r="BP98" s="141"/>
      <c r="BQ98" s="141"/>
      <c r="BR98" s="141"/>
      <c r="BS98" s="141"/>
      <c r="BT98" s="141"/>
      <c r="BU98" s="142"/>
      <c r="BV98" s="155"/>
      <c r="BW98" s="156"/>
      <c r="BX98" s="156"/>
      <c r="BY98" s="156"/>
      <c r="BZ98" s="156"/>
      <c r="CA98" s="156"/>
      <c r="CB98" s="156"/>
      <c r="CC98" s="156"/>
      <c r="CD98" s="156"/>
      <c r="CE98" s="156"/>
      <c r="CF98" s="141"/>
      <c r="CG98" s="141"/>
      <c r="CH98" s="141"/>
      <c r="CI98" s="141"/>
      <c r="CJ98" s="141"/>
      <c r="CK98" s="141"/>
      <c r="CL98" s="141"/>
      <c r="CM98" s="141"/>
      <c r="CN98" s="141"/>
      <c r="CO98" s="142"/>
    </row>
    <row r="99" spans="1:134" ht="13" customHeight="1" x14ac:dyDescent="0.35">
      <c r="A99" s="137" t="s">
        <v>140</v>
      </c>
      <c r="B99" s="94"/>
      <c r="C99" s="94"/>
      <c r="D99" s="94"/>
      <c r="E99" s="94"/>
      <c r="F99" s="94"/>
      <c r="G99" s="94"/>
      <c r="H99" s="94"/>
      <c r="I99" s="94"/>
      <c r="J99" s="94"/>
      <c r="K99" s="94"/>
      <c r="L99" s="94"/>
      <c r="M99" s="94"/>
      <c r="N99" s="160"/>
      <c r="O99" s="161"/>
      <c r="P99" s="161"/>
      <c r="Q99" s="161"/>
      <c r="R99" s="161"/>
      <c r="S99" s="161"/>
      <c r="T99" s="161"/>
      <c r="U99" s="161"/>
      <c r="V99" s="161"/>
      <c r="W99" s="161"/>
      <c r="X99" s="141"/>
      <c r="Y99" s="141"/>
      <c r="Z99" s="141"/>
      <c r="AA99" s="141"/>
      <c r="AB99" s="141"/>
      <c r="AC99" s="141"/>
      <c r="AD99" s="141"/>
      <c r="AE99" s="141"/>
      <c r="AF99" s="141"/>
      <c r="AG99" s="142"/>
      <c r="AH99" s="160"/>
      <c r="AI99" s="161"/>
      <c r="AJ99" s="161"/>
      <c r="AK99" s="161"/>
      <c r="AL99" s="161"/>
      <c r="AM99" s="161"/>
      <c r="AN99" s="161"/>
      <c r="AO99" s="161"/>
      <c r="AP99" s="161"/>
      <c r="AQ99" s="161"/>
      <c r="AR99" s="141"/>
      <c r="AS99" s="141"/>
      <c r="AT99" s="141"/>
      <c r="AU99" s="141"/>
      <c r="AV99" s="141"/>
      <c r="AW99" s="141"/>
      <c r="AX99" s="141"/>
      <c r="AY99" s="141"/>
      <c r="AZ99" s="141"/>
      <c r="BA99" s="142"/>
      <c r="BB99" s="160"/>
      <c r="BC99" s="161"/>
      <c r="BD99" s="161"/>
      <c r="BE99" s="161"/>
      <c r="BF99" s="161"/>
      <c r="BG99" s="161"/>
      <c r="BH99" s="161"/>
      <c r="BI99" s="161"/>
      <c r="BJ99" s="161"/>
      <c r="BK99" s="161"/>
      <c r="BL99" s="141"/>
      <c r="BM99" s="141"/>
      <c r="BN99" s="141"/>
      <c r="BO99" s="141"/>
      <c r="BP99" s="141"/>
      <c r="BQ99" s="141"/>
      <c r="BR99" s="141"/>
      <c r="BS99" s="141"/>
      <c r="BT99" s="141"/>
      <c r="BU99" s="142"/>
      <c r="BV99" s="160"/>
      <c r="BW99" s="161"/>
      <c r="BX99" s="161"/>
      <c r="BY99" s="161"/>
      <c r="BZ99" s="161"/>
      <c r="CA99" s="161"/>
      <c r="CB99" s="161"/>
      <c r="CC99" s="161"/>
      <c r="CD99" s="161"/>
      <c r="CE99" s="161"/>
      <c r="CF99" s="141"/>
      <c r="CG99" s="141"/>
      <c r="CH99" s="141"/>
      <c r="CI99" s="141"/>
      <c r="CJ99" s="141"/>
      <c r="CK99" s="141"/>
      <c r="CL99" s="141"/>
      <c r="CM99" s="141"/>
      <c r="CN99" s="141"/>
      <c r="CO99" s="142"/>
    </row>
    <row r="100" spans="1:134" ht="13" customHeight="1" x14ac:dyDescent="0.35">
      <c r="A100" s="137" t="s">
        <v>141</v>
      </c>
      <c r="B100" s="94"/>
      <c r="C100" s="94"/>
      <c r="D100" s="94"/>
      <c r="E100" s="94"/>
      <c r="F100" s="94"/>
      <c r="G100" s="94"/>
      <c r="H100" s="94"/>
      <c r="I100" s="94"/>
      <c r="J100" s="94"/>
      <c r="K100" s="94"/>
      <c r="L100" s="94"/>
      <c r="M100" s="94"/>
      <c r="N100" s="160"/>
      <c r="O100" s="161"/>
      <c r="P100" s="161"/>
      <c r="Q100" s="161"/>
      <c r="R100" s="161"/>
      <c r="S100" s="161"/>
      <c r="T100" s="161"/>
      <c r="U100" s="161"/>
      <c r="V100" s="161"/>
      <c r="W100" s="161"/>
      <c r="X100" s="141"/>
      <c r="Y100" s="141"/>
      <c r="Z100" s="141"/>
      <c r="AA100" s="141"/>
      <c r="AB100" s="141"/>
      <c r="AC100" s="141"/>
      <c r="AD100" s="141"/>
      <c r="AE100" s="141"/>
      <c r="AF100" s="141"/>
      <c r="AG100" s="142"/>
      <c r="AH100" s="160"/>
      <c r="AI100" s="161"/>
      <c r="AJ100" s="161"/>
      <c r="AK100" s="161"/>
      <c r="AL100" s="161"/>
      <c r="AM100" s="161"/>
      <c r="AN100" s="161"/>
      <c r="AO100" s="161"/>
      <c r="AP100" s="161"/>
      <c r="AQ100" s="161"/>
      <c r="AR100" s="141"/>
      <c r="AS100" s="141"/>
      <c r="AT100" s="141"/>
      <c r="AU100" s="141"/>
      <c r="AV100" s="141"/>
      <c r="AW100" s="141"/>
      <c r="AX100" s="141"/>
      <c r="AY100" s="141"/>
      <c r="AZ100" s="141"/>
      <c r="BA100" s="142"/>
      <c r="BB100" s="160"/>
      <c r="BC100" s="161"/>
      <c r="BD100" s="161"/>
      <c r="BE100" s="161"/>
      <c r="BF100" s="161"/>
      <c r="BG100" s="161"/>
      <c r="BH100" s="161"/>
      <c r="BI100" s="161"/>
      <c r="BJ100" s="161"/>
      <c r="BK100" s="161"/>
      <c r="BL100" s="141"/>
      <c r="BM100" s="141"/>
      <c r="BN100" s="141"/>
      <c r="BO100" s="141"/>
      <c r="BP100" s="141"/>
      <c r="BQ100" s="141"/>
      <c r="BR100" s="141"/>
      <c r="BS100" s="141"/>
      <c r="BT100" s="141"/>
      <c r="BU100" s="142"/>
      <c r="BV100" s="160"/>
      <c r="BW100" s="161"/>
      <c r="BX100" s="161"/>
      <c r="BY100" s="161"/>
      <c r="BZ100" s="161"/>
      <c r="CA100" s="161"/>
      <c r="CB100" s="161"/>
      <c r="CC100" s="161"/>
      <c r="CD100" s="161"/>
      <c r="CE100" s="161"/>
      <c r="CF100" s="141"/>
      <c r="CG100" s="141"/>
      <c r="CH100" s="141"/>
      <c r="CI100" s="141"/>
      <c r="CJ100" s="141"/>
      <c r="CK100" s="141"/>
      <c r="CL100" s="141"/>
      <c r="CM100" s="141"/>
      <c r="CN100" s="141"/>
      <c r="CO100" s="142"/>
    </row>
    <row r="101" spans="1:134" ht="13" customHeight="1" x14ac:dyDescent="0.35">
      <c r="A101" s="137" t="s">
        <v>151</v>
      </c>
      <c r="B101" s="94"/>
      <c r="C101" s="94"/>
      <c r="D101" s="94"/>
      <c r="E101" s="94"/>
      <c r="F101" s="94"/>
      <c r="G101" s="94"/>
      <c r="H101" s="94"/>
      <c r="I101" s="94"/>
      <c r="J101" s="94"/>
      <c r="K101" s="94"/>
      <c r="L101" s="94"/>
      <c r="M101" s="94"/>
      <c r="N101" s="160"/>
      <c r="O101" s="161"/>
      <c r="P101" s="161"/>
      <c r="Q101" s="161"/>
      <c r="R101" s="161"/>
      <c r="S101" s="161"/>
      <c r="T101" s="161"/>
      <c r="U101" s="161"/>
      <c r="V101" s="161"/>
      <c r="W101" s="161"/>
      <c r="X101" s="141"/>
      <c r="Y101" s="141"/>
      <c r="Z101" s="141"/>
      <c r="AA101" s="141"/>
      <c r="AB101" s="141"/>
      <c r="AC101" s="141"/>
      <c r="AD101" s="141"/>
      <c r="AE101" s="141"/>
      <c r="AF101" s="141"/>
      <c r="AG101" s="142"/>
      <c r="AH101" s="160"/>
      <c r="AI101" s="161"/>
      <c r="AJ101" s="161"/>
      <c r="AK101" s="161"/>
      <c r="AL101" s="161"/>
      <c r="AM101" s="161"/>
      <c r="AN101" s="161"/>
      <c r="AO101" s="161"/>
      <c r="AP101" s="161"/>
      <c r="AQ101" s="161"/>
      <c r="AR101" s="141"/>
      <c r="AS101" s="141"/>
      <c r="AT101" s="141"/>
      <c r="AU101" s="141"/>
      <c r="AV101" s="141"/>
      <c r="AW101" s="141"/>
      <c r="AX101" s="141"/>
      <c r="AY101" s="141"/>
      <c r="AZ101" s="141"/>
      <c r="BA101" s="142"/>
      <c r="BB101" s="160"/>
      <c r="BC101" s="161"/>
      <c r="BD101" s="161"/>
      <c r="BE101" s="161"/>
      <c r="BF101" s="161"/>
      <c r="BG101" s="161"/>
      <c r="BH101" s="161"/>
      <c r="BI101" s="161"/>
      <c r="BJ101" s="161"/>
      <c r="BK101" s="161"/>
      <c r="BL101" s="141"/>
      <c r="BM101" s="141"/>
      <c r="BN101" s="141"/>
      <c r="BO101" s="141"/>
      <c r="BP101" s="141"/>
      <c r="BQ101" s="141"/>
      <c r="BR101" s="141"/>
      <c r="BS101" s="141"/>
      <c r="BT101" s="141"/>
      <c r="BU101" s="142"/>
      <c r="BV101" s="160"/>
      <c r="BW101" s="161"/>
      <c r="BX101" s="161"/>
      <c r="BY101" s="161"/>
      <c r="BZ101" s="161"/>
      <c r="CA101" s="161"/>
      <c r="CB101" s="161"/>
      <c r="CC101" s="161"/>
      <c r="CD101" s="161"/>
      <c r="CE101" s="161"/>
      <c r="CF101" s="141"/>
      <c r="CG101" s="141"/>
      <c r="CH101" s="141"/>
      <c r="CI101" s="141"/>
      <c r="CJ101" s="141"/>
      <c r="CK101" s="141"/>
      <c r="CL101" s="141"/>
      <c r="CM101" s="141"/>
      <c r="CN101" s="141"/>
      <c r="CO101" s="142"/>
    </row>
    <row r="102" spans="1:134" ht="13" customHeight="1" x14ac:dyDescent="0.35">
      <c r="A102" s="137" t="s">
        <v>152</v>
      </c>
      <c r="B102" s="94"/>
      <c r="C102" s="94"/>
      <c r="D102" s="94"/>
      <c r="E102" s="94"/>
      <c r="F102" s="94"/>
      <c r="G102" s="94"/>
      <c r="H102" s="94"/>
      <c r="I102" s="94"/>
      <c r="J102" s="94"/>
      <c r="K102" s="94"/>
      <c r="L102" s="94"/>
      <c r="M102" s="94"/>
      <c r="N102" s="160"/>
      <c r="O102" s="161"/>
      <c r="P102" s="161"/>
      <c r="Q102" s="161"/>
      <c r="R102" s="161"/>
      <c r="S102" s="161"/>
      <c r="T102" s="161"/>
      <c r="U102" s="161"/>
      <c r="V102" s="161"/>
      <c r="W102" s="161"/>
      <c r="X102" s="141"/>
      <c r="Y102" s="141"/>
      <c r="Z102" s="141"/>
      <c r="AA102" s="141"/>
      <c r="AB102" s="141"/>
      <c r="AC102" s="141"/>
      <c r="AD102" s="141"/>
      <c r="AE102" s="141"/>
      <c r="AF102" s="141"/>
      <c r="AG102" s="142"/>
      <c r="AH102" s="160"/>
      <c r="AI102" s="161"/>
      <c r="AJ102" s="161"/>
      <c r="AK102" s="161"/>
      <c r="AL102" s="161"/>
      <c r="AM102" s="161"/>
      <c r="AN102" s="161"/>
      <c r="AO102" s="161"/>
      <c r="AP102" s="161"/>
      <c r="AQ102" s="161"/>
      <c r="AR102" s="141"/>
      <c r="AS102" s="141"/>
      <c r="AT102" s="141"/>
      <c r="AU102" s="141"/>
      <c r="AV102" s="141"/>
      <c r="AW102" s="141"/>
      <c r="AX102" s="141"/>
      <c r="AY102" s="141"/>
      <c r="AZ102" s="141"/>
      <c r="BA102" s="142"/>
      <c r="BB102" s="160"/>
      <c r="BC102" s="161"/>
      <c r="BD102" s="161"/>
      <c r="BE102" s="161"/>
      <c r="BF102" s="161"/>
      <c r="BG102" s="161"/>
      <c r="BH102" s="161"/>
      <c r="BI102" s="161"/>
      <c r="BJ102" s="161"/>
      <c r="BK102" s="161"/>
      <c r="BL102" s="141"/>
      <c r="BM102" s="141"/>
      <c r="BN102" s="141"/>
      <c r="BO102" s="141"/>
      <c r="BP102" s="141"/>
      <c r="BQ102" s="141"/>
      <c r="BR102" s="141"/>
      <c r="BS102" s="141"/>
      <c r="BT102" s="141"/>
      <c r="BU102" s="142"/>
      <c r="BV102" s="160"/>
      <c r="BW102" s="161"/>
      <c r="BX102" s="161"/>
      <c r="BY102" s="161"/>
      <c r="BZ102" s="161"/>
      <c r="CA102" s="161"/>
      <c r="CB102" s="161"/>
      <c r="CC102" s="161"/>
      <c r="CD102" s="161"/>
      <c r="CE102" s="161"/>
      <c r="CF102" s="141"/>
      <c r="CG102" s="141"/>
      <c r="CH102" s="141"/>
      <c r="CI102" s="141"/>
      <c r="CJ102" s="141"/>
      <c r="CK102" s="141"/>
      <c r="CL102" s="141"/>
      <c r="CM102" s="141"/>
      <c r="CN102" s="141"/>
      <c r="CO102" s="142"/>
    </row>
    <row r="103" spans="1:134" ht="13" customHeight="1" x14ac:dyDescent="0.35">
      <c r="A103" s="137" t="s">
        <v>153</v>
      </c>
      <c r="B103" s="94"/>
      <c r="C103" s="94"/>
      <c r="D103" s="94"/>
      <c r="E103" s="94"/>
      <c r="F103" s="94"/>
      <c r="G103" s="94"/>
      <c r="H103" s="94"/>
      <c r="I103" s="94"/>
      <c r="J103" s="94"/>
      <c r="K103" s="94"/>
      <c r="L103" s="94"/>
      <c r="M103" s="94"/>
      <c r="N103" s="160"/>
      <c r="O103" s="161"/>
      <c r="P103" s="161"/>
      <c r="Q103" s="161"/>
      <c r="R103" s="161"/>
      <c r="S103" s="161"/>
      <c r="T103" s="161"/>
      <c r="U103" s="161"/>
      <c r="V103" s="161"/>
      <c r="W103" s="161"/>
      <c r="X103" s="141"/>
      <c r="Y103" s="141"/>
      <c r="Z103" s="141"/>
      <c r="AA103" s="141"/>
      <c r="AB103" s="141"/>
      <c r="AC103" s="141"/>
      <c r="AD103" s="141"/>
      <c r="AE103" s="141"/>
      <c r="AF103" s="141"/>
      <c r="AG103" s="142"/>
      <c r="AH103" s="160"/>
      <c r="AI103" s="161"/>
      <c r="AJ103" s="161"/>
      <c r="AK103" s="161"/>
      <c r="AL103" s="161"/>
      <c r="AM103" s="161"/>
      <c r="AN103" s="161"/>
      <c r="AO103" s="161"/>
      <c r="AP103" s="161"/>
      <c r="AQ103" s="161"/>
      <c r="AR103" s="141"/>
      <c r="AS103" s="141"/>
      <c r="AT103" s="141"/>
      <c r="AU103" s="141"/>
      <c r="AV103" s="141"/>
      <c r="AW103" s="141"/>
      <c r="AX103" s="141"/>
      <c r="AY103" s="141"/>
      <c r="AZ103" s="141"/>
      <c r="BA103" s="142"/>
      <c r="BB103" s="160"/>
      <c r="BC103" s="161"/>
      <c r="BD103" s="161"/>
      <c r="BE103" s="161"/>
      <c r="BF103" s="161"/>
      <c r="BG103" s="161"/>
      <c r="BH103" s="161"/>
      <c r="BI103" s="161"/>
      <c r="BJ103" s="161"/>
      <c r="BK103" s="161"/>
      <c r="BL103" s="141"/>
      <c r="BM103" s="141"/>
      <c r="BN103" s="141"/>
      <c r="BO103" s="141"/>
      <c r="BP103" s="141"/>
      <c r="BQ103" s="141"/>
      <c r="BR103" s="141"/>
      <c r="BS103" s="141"/>
      <c r="BT103" s="141"/>
      <c r="BU103" s="142"/>
      <c r="BV103" s="160"/>
      <c r="BW103" s="161"/>
      <c r="BX103" s="161"/>
      <c r="BY103" s="161"/>
      <c r="BZ103" s="161"/>
      <c r="CA103" s="161"/>
      <c r="CB103" s="161"/>
      <c r="CC103" s="161"/>
      <c r="CD103" s="161"/>
      <c r="CE103" s="161"/>
      <c r="CF103" s="141"/>
      <c r="CG103" s="141"/>
      <c r="CH103" s="141"/>
      <c r="CI103" s="141"/>
      <c r="CJ103" s="141"/>
      <c r="CK103" s="141"/>
      <c r="CL103" s="141"/>
      <c r="CM103" s="141"/>
      <c r="CN103" s="141"/>
      <c r="CO103" s="142"/>
    </row>
    <row r="104" spans="1:134" ht="13" customHeight="1" x14ac:dyDescent="0.35">
      <c r="A104" s="137" t="s">
        <v>154</v>
      </c>
      <c r="B104" s="94"/>
      <c r="C104" s="94"/>
      <c r="D104" s="94"/>
      <c r="E104" s="94"/>
      <c r="F104" s="94"/>
      <c r="G104" s="94"/>
      <c r="H104" s="94"/>
      <c r="I104" s="94"/>
      <c r="J104" s="94"/>
      <c r="K104" s="94"/>
      <c r="L104" s="94"/>
      <c r="M104" s="94"/>
      <c r="N104" s="155"/>
      <c r="O104" s="156"/>
      <c r="P104" s="156"/>
      <c r="Q104" s="156"/>
      <c r="R104" s="156"/>
      <c r="S104" s="156"/>
      <c r="T104" s="156"/>
      <c r="U104" s="156"/>
      <c r="V104" s="156"/>
      <c r="W104" s="156"/>
      <c r="X104" s="141"/>
      <c r="Y104" s="141"/>
      <c r="Z104" s="141"/>
      <c r="AA104" s="141"/>
      <c r="AB104" s="141"/>
      <c r="AC104" s="141"/>
      <c r="AD104" s="141"/>
      <c r="AE104" s="141"/>
      <c r="AF104" s="141"/>
      <c r="AG104" s="142"/>
      <c r="AH104" s="155"/>
      <c r="AI104" s="156"/>
      <c r="AJ104" s="156"/>
      <c r="AK104" s="156"/>
      <c r="AL104" s="156"/>
      <c r="AM104" s="156"/>
      <c r="AN104" s="156"/>
      <c r="AO104" s="156"/>
      <c r="AP104" s="156"/>
      <c r="AQ104" s="156"/>
      <c r="AR104" s="141"/>
      <c r="AS104" s="141"/>
      <c r="AT104" s="141"/>
      <c r="AU104" s="141"/>
      <c r="AV104" s="141"/>
      <c r="AW104" s="141"/>
      <c r="AX104" s="141"/>
      <c r="AY104" s="141"/>
      <c r="AZ104" s="141"/>
      <c r="BA104" s="142"/>
      <c r="BB104" s="155"/>
      <c r="BC104" s="156"/>
      <c r="BD104" s="156"/>
      <c r="BE104" s="156"/>
      <c r="BF104" s="156"/>
      <c r="BG104" s="156"/>
      <c r="BH104" s="156"/>
      <c r="BI104" s="156"/>
      <c r="BJ104" s="156"/>
      <c r="BK104" s="156"/>
      <c r="BL104" s="141"/>
      <c r="BM104" s="141"/>
      <c r="BN104" s="141"/>
      <c r="BO104" s="141"/>
      <c r="BP104" s="141"/>
      <c r="BQ104" s="141"/>
      <c r="BR104" s="141"/>
      <c r="BS104" s="141"/>
      <c r="BT104" s="141"/>
      <c r="BU104" s="142"/>
      <c r="BV104" s="155"/>
      <c r="BW104" s="156"/>
      <c r="BX104" s="156"/>
      <c r="BY104" s="156"/>
      <c r="BZ104" s="156"/>
      <c r="CA104" s="156"/>
      <c r="CB104" s="156"/>
      <c r="CC104" s="156"/>
      <c r="CD104" s="156"/>
      <c r="CE104" s="156"/>
      <c r="CF104" s="141"/>
      <c r="CG104" s="141"/>
      <c r="CH104" s="141"/>
      <c r="CI104" s="141"/>
      <c r="CJ104" s="141"/>
      <c r="CK104" s="141"/>
      <c r="CL104" s="141"/>
      <c r="CM104" s="141"/>
      <c r="CN104" s="141"/>
      <c r="CO104" s="142"/>
    </row>
    <row r="105" spans="1:134" ht="13" customHeight="1" x14ac:dyDescent="0.35">
      <c r="A105" s="137" t="s">
        <v>155</v>
      </c>
      <c r="B105" s="94"/>
      <c r="C105" s="94"/>
      <c r="D105" s="94"/>
      <c r="E105" s="94"/>
      <c r="F105" s="94"/>
      <c r="G105" s="94"/>
      <c r="H105" s="94"/>
      <c r="I105" s="94"/>
      <c r="J105" s="94"/>
      <c r="K105" s="94"/>
      <c r="L105" s="94"/>
      <c r="M105" s="94"/>
      <c r="N105" s="155"/>
      <c r="O105" s="156"/>
      <c r="P105" s="156"/>
      <c r="Q105" s="156"/>
      <c r="R105" s="156"/>
      <c r="S105" s="156"/>
      <c r="T105" s="156"/>
      <c r="U105" s="156"/>
      <c r="V105" s="156"/>
      <c r="W105" s="156"/>
      <c r="X105" s="141"/>
      <c r="Y105" s="141"/>
      <c r="Z105" s="141"/>
      <c r="AA105" s="141"/>
      <c r="AB105" s="141"/>
      <c r="AC105" s="141"/>
      <c r="AD105" s="141"/>
      <c r="AE105" s="141"/>
      <c r="AF105" s="141"/>
      <c r="AG105" s="142"/>
      <c r="AH105" s="155"/>
      <c r="AI105" s="156"/>
      <c r="AJ105" s="156"/>
      <c r="AK105" s="156"/>
      <c r="AL105" s="156"/>
      <c r="AM105" s="156"/>
      <c r="AN105" s="156"/>
      <c r="AO105" s="156"/>
      <c r="AP105" s="156"/>
      <c r="AQ105" s="156"/>
      <c r="AR105" s="141"/>
      <c r="AS105" s="141"/>
      <c r="AT105" s="141"/>
      <c r="AU105" s="141"/>
      <c r="AV105" s="141"/>
      <c r="AW105" s="141"/>
      <c r="AX105" s="141"/>
      <c r="AY105" s="141"/>
      <c r="AZ105" s="141"/>
      <c r="BA105" s="142"/>
      <c r="BB105" s="155"/>
      <c r="BC105" s="156"/>
      <c r="BD105" s="156"/>
      <c r="BE105" s="156"/>
      <c r="BF105" s="156"/>
      <c r="BG105" s="156"/>
      <c r="BH105" s="156"/>
      <c r="BI105" s="156"/>
      <c r="BJ105" s="156"/>
      <c r="BK105" s="156"/>
      <c r="BL105" s="141"/>
      <c r="BM105" s="141"/>
      <c r="BN105" s="141"/>
      <c r="BO105" s="141"/>
      <c r="BP105" s="141"/>
      <c r="BQ105" s="141"/>
      <c r="BR105" s="141"/>
      <c r="BS105" s="141"/>
      <c r="BT105" s="141"/>
      <c r="BU105" s="142"/>
      <c r="BV105" s="155"/>
      <c r="BW105" s="156"/>
      <c r="BX105" s="156"/>
      <c r="BY105" s="156"/>
      <c r="BZ105" s="156"/>
      <c r="CA105" s="156"/>
      <c r="CB105" s="156"/>
      <c r="CC105" s="156"/>
      <c r="CD105" s="156"/>
      <c r="CE105" s="156"/>
      <c r="CF105" s="141"/>
      <c r="CG105" s="141"/>
      <c r="CH105" s="141"/>
      <c r="CI105" s="141"/>
      <c r="CJ105" s="141"/>
      <c r="CK105" s="141"/>
      <c r="CL105" s="141"/>
      <c r="CM105" s="141"/>
      <c r="CN105" s="141"/>
      <c r="CO105" s="142"/>
    </row>
    <row r="106" spans="1:134" ht="13" customHeight="1" x14ac:dyDescent="0.35">
      <c r="A106" s="137" t="s">
        <v>156</v>
      </c>
      <c r="B106" s="94"/>
      <c r="C106" s="94"/>
      <c r="D106" s="94"/>
      <c r="E106" s="94"/>
      <c r="F106" s="94"/>
      <c r="G106" s="94"/>
      <c r="H106" s="94"/>
      <c r="I106" s="94"/>
      <c r="J106" s="94"/>
      <c r="K106" s="94"/>
      <c r="L106" s="94"/>
      <c r="M106" s="94"/>
      <c r="N106" s="155"/>
      <c r="O106" s="156"/>
      <c r="P106" s="156"/>
      <c r="Q106" s="156"/>
      <c r="R106" s="156"/>
      <c r="S106" s="156"/>
      <c r="T106" s="156"/>
      <c r="U106" s="156"/>
      <c r="V106" s="156"/>
      <c r="W106" s="156"/>
      <c r="X106" s="141"/>
      <c r="Y106" s="141"/>
      <c r="Z106" s="141"/>
      <c r="AA106" s="141"/>
      <c r="AB106" s="141"/>
      <c r="AC106" s="141"/>
      <c r="AD106" s="141"/>
      <c r="AE106" s="141"/>
      <c r="AF106" s="141"/>
      <c r="AG106" s="142"/>
      <c r="AH106" s="155"/>
      <c r="AI106" s="156"/>
      <c r="AJ106" s="156"/>
      <c r="AK106" s="156"/>
      <c r="AL106" s="156"/>
      <c r="AM106" s="156"/>
      <c r="AN106" s="156"/>
      <c r="AO106" s="156"/>
      <c r="AP106" s="156"/>
      <c r="AQ106" s="156"/>
      <c r="AR106" s="141"/>
      <c r="AS106" s="141"/>
      <c r="AT106" s="141"/>
      <c r="AU106" s="141"/>
      <c r="AV106" s="141"/>
      <c r="AW106" s="141"/>
      <c r="AX106" s="141"/>
      <c r="AY106" s="141"/>
      <c r="AZ106" s="141"/>
      <c r="BA106" s="142"/>
      <c r="BB106" s="155"/>
      <c r="BC106" s="156"/>
      <c r="BD106" s="156"/>
      <c r="BE106" s="156"/>
      <c r="BF106" s="156"/>
      <c r="BG106" s="156"/>
      <c r="BH106" s="156"/>
      <c r="BI106" s="156"/>
      <c r="BJ106" s="156"/>
      <c r="BK106" s="156"/>
      <c r="BL106" s="141"/>
      <c r="BM106" s="141"/>
      <c r="BN106" s="141"/>
      <c r="BO106" s="141"/>
      <c r="BP106" s="141"/>
      <c r="BQ106" s="141"/>
      <c r="BR106" s="141"/>
      <c r="BS106" s="141"/>
      <c r="BT106" s="141"/>
      <c r="BU106" s="142"/>
      <c r="BV106" s="155"/>
      <c r="BW106" s="156"/>
      <c r="BX106" s="156"/>
      <c r="BY106" s="156"/>
      <c r="BZ106" s="156"/>
      <c r="CA106" s="156"/>
      <c r="CB106" s="156"/>
      <c r="CC106" s="156"/>
      <c r="CD106" s="156"/>
      <c r="CE106" s="156"/>
      <c r="CF106" s="141"/>
      <c r="CG106" s="141"/>
      <c r="CH106" s="141"/>
      <c r="CI106" s="141"/>
      <c r="CJ106" s="141"/>
      <c r="CK106" s="141"/>
      <c r="CL106" s="141"/>
      <c r="CM106" s="141"/>
      <c r="CN106" s="141"/>
      <c r="CO106" s="142"/>
    </row>
    <row r="107" spans="1:134" ht="13" customHeight="1" x14ac:dyDescent="0.35">
      <c r="A107" s="137" t="s">
        <v>157</v>
      </c>
      <c r="B107" s="137"/>
      <c r="C107" s="137"/>
      <c r="D107" s="137"/>
      <c r="E107" s="137"/>
      <c r="F107" s="137"/>
      <c r="G107" s="137"/>
      <c r="H107" s="137"/>
      <c r="I107" s="137"/>
      <c r="J107" s="137"/>
      <c r="K107" s="137"/>
      <c r="L107" s="137"/>
      <c r="M107" s="137"/>
      <c r="N107" s="155"/>
      <c r="O107" s="156"/>
      <c r="P107" s="156"/>
      <c r="Q107" s="156"/>
      <c r="R107" s="156"/>
      <c r="S107" s="156"/>
      <c r="T107" s="156"/>
      <c r="U107" s="156"/>
      <c r="V107" s="156"/>
      <c r="W107" s="156"/>
      <c r="X107" s="141"/>
      <c r="Y107" s="141"/>
      <c r="Z107" s="141"/>
      <c r="AA107" s="141"/>
      <c r="AB107" s="141"/>
      <c r="AC107" s="141"/>
      <c r="AD107" s="141"/>
      <c r="AE107" s="141"/>
      <c r="AF107" s="141"/>
      <c r="AG107" s="142"/>
      <c r="AH107" s="155"/>
      <c r="AI107" s="156"/>
      <c r="AJ107" s="156"/>
      <c r="AK107" s="156"/>
      <c r="AL107" s="156"/>
      <c r="AM107" s="156"/>
      <c r="AN107" s="156"/>
      <c r="AO107" s="156"/>
      <c r="AP107" s="156"/>
      <c r="AQ107" s="156"/>
      <c r="AR107" s="141"/>
      <c r="AS107" s="141"/>
      <c r="AT107" s="141"/>
      <c r="AU107" s="141"/>
      <c r="AV107" s="141"/>
      <c r="AW107" s="141"/>
      <c r="AX107" s="141"/>
      <c r="AY107" s="141"/>
      <c r="AZ107" s="141"/>
      <c r="BA107" s="142"/>
      <c r="BB107" s="155"/>
      <c r="BC107" s="156"/>
      <c r="BD107" s="156"/>
      <c r="BE107" s="156"/>
      <c r="BF107" s="156"/>
      <c r="BG107" s="156"/>
      <c r="BH107" s="156"/>
      <c r="BI107" s="156"/>
      <c r="BJ107" s="156"/>
      <c r="BK107" s="156"/>
      <c r="BL107" s="141"/>
      <c r="BM107" s="141"/>
      <c r="BN107" s="141"/>
      <c r="BO107" s="141"/>
      <c r="BP107" s="141"/>
      <c r="BQ107" s="141"/>
      <c r="BR107" s="141"/>
      <c r="BS107" s="141"/>
      <c r="BT107" s="141"/>
      <c r="BU107" s="142"/>
      <c r="BV107" s="155"/>
      <c r="BW107" s="156"/>
      <c r="BX107" s="156"/>
      <c r="BY107" s="156"/>
      <c r="BZ107" s="156"/>
      <c r="CA107" s="156"/>
      <c r="CB107" s="156"/>
      <c r="CC107" s="156"/>
      <c r="CD107" s="156"/>
      <c r="CE107" s="156"/>
      <c r="CF107" s="141"/>
      <c r="CG107" s="141"/>
      <c r="CH107" s="141"/>
      <c r="CI107" s="141"/>
      <c r="CJ107" s="141"/>
      <c r="CK107" s="141"/>
      <c r="CL107" s="141"/>
      <c r="CM107" s="141"/>
      <c r="CN107" s="141"/>
      <c r="CO107" s="142"/>
    </row>
    <row r="108" spans="1:134" ht="13" customHeight="1" x14ac:dyDescent="0.35">
      <c r="A108" s="137" t="s">
        <v>158</v>
      </c>
      <c r="B108" s="94"/>
      <c r="C108" s="94"/>
      <c r="D108" s="94"/>
      <c r="E108" s="94"/>
      <c r="F108" s="94"/>
      <c r="G108" s="94"/>
      <c r="H108" s="94"/>
      <c r="I108" s="94"/>
      <c r="J108" s="94"/>
      <c r="K108" s="94"/>
      <c r="L108" s="94"/>
      <c r="M108" s="94"/>
      <c r="N108" s="158"/>
      <c r="O108" s="159"/>
      <c r="P108" s="159"/>
      <c r="Q108" s="159"/>
      <c r="R108" s="159"/>
      <c r="S108" s="159"/>
      <c r="T108" s="159"/>
      <c r="U108" s="159"/>
      <c r="V108" s="159"/>
      <c r="W108" s="159"/>
      <c r="X108" s="141"/>
      <c r="Y108" s="141"/>
      <c r="Z108" s="141"/>
      <c r="AA108" s="141"/>
      <c r="AB108" s="141"/>
      <c r="AC108" s="141"/>
      <c r="AD108" s="141"/>
      <c r="AE108" s="141"/>
      <c r="AF108" s="141"/>
      <c r="AG108" s="142"/>
      <c r="AH108" s="158"/>
      <c r="AI108" s="159"/>
      <c r="AJ108" s="159"/>
      <c r="AK108" s="159"/>
      <c r="AL108" s="159"/>
      <c r="AM108" s="159"/>
      <c r="AN108" s="159"/>
      <c r="AO108" s="159"/>
      <c r="AP108" s="159"/>
      <c r="AQ108" s="159"/>
      <c r="AR108" s="141"/>
      <c r="AS108" s="141"/>
      <c r="AT108" s="141"/>
      <c r="AU108" s="141"/>
      <c r="AV108" s="141"/>
      <c r="AW108" s="141"/>
      <c r="AX108" s="141"/>
      <c r="AY108" s="141"/>
      <c r="AZ108" s="141"/>
      <c r="BA108" s="142"/>
      <c r="BB108" s="158"/>
      <c r="BC108" s="159"/>
      <c r="BD108" s="159"/>
      <c r="BE108" s="159"/>
      <c r="BF108" s="159"/>
      <c r="BG108" s="159"/>
      <c r="BH108" s="159"/>
      <c r="BI108" s="159"/>
      <c r="BJ108" s="159"/>
      <c r="BK108" s="159"/>
      <c r="BL108" s="141"/>
      <c r="BM108" s="141"/>
      <c r="BN108" s="141"/>
      <c r="BO108" s="141"/>
      <c r="BP108" s="141"/>
      <c r="BQ108" s="141"/>
      <c r="BR108" s="141"/>
      <c r="BS108" s="141"/>
      <c r="BT108" s="141"/>
      <c r="BU108" s="142"/>
      <c r="BV108" s="158"/>
      <c r="BW108" s="159"/>
      <c r="BX108" s="159"/>
      <c r="BY108" s="159"/>
      <c r="BZ108" s="159"/>
      <c r="CA108" s="159"/>
      <c r="CB108" s="159"/>
      <c r="CC108" s="159"/>
      <c r="CD108" s="159"/>
      <c r="CE108" s="159"/>
      <c r="CF108" s="141"/>
      <c r="CG108" s="141"/>
      <c r="CH108" s="141"/>
      <c r="CI108" s="141"/>
      <c r="CJ108" s="141"/>
      <c r="CK108" s="141"/>
      <c r="CL108" s="141"/>
      <c r="CM108" s="141"/>
      <c r="CN108" s="141"/>
      <c r="CO108" s="142"/>
    </row>
    <row r="109" spans="1:134" ht="13" customHeight="1" x14ac:dyDescent="0.35">
      <c r="A109" s="137" t="s">
        <v>161</v>
      </c>
      <c r="B109" s="94"/>
      <c r="C109" s="94"/>
      <c r="D109" s="94"/>
      <c r="E109" s="94"/>
      <c r="F109" s="94"/>
      <c r="G109" s="94"/>
      <c r="H109" s="94"/>
      <c r="I109" s="94"/>
      <c r="J109" s="94"/>
      <c r="K109" s="94"/>
      <c r="L109" s="94"/>
      <c r="M109" s="94"/>
      <c r="N109" s="160"/>
      <c r="O109" s="161"/>
      <c r="P109" s="161"/>
      <c r="Q109" s="161"/>
      <c r="R109" s="161"/>
      <c r="S109" s="161"/>
      <c r="T109" s="161"/>
      <c r="U109" s="161"/>
      <c r="V109" s="161"/>
      <c r="W109" s="161"/>
      <c r="X109" s="141"/>
      <c r="Y109" s="141"/>
      <c r="Z109" s="141"/>
      <c r="AA109" s="141"/>
      <c r="AB109" s="141"/>
      <c r="AC109" s="141"/>
      <c r="AD109" s="141"/>
      <c r="AE109" s="141"/>
      <c r="AF109" s="141"/>
      <c r="AG109" s="142"/>
      <c r="AH109" s="160"/>
      <c r="AI109" s="161"/>
      <c r="AJ109" s="161"/>
      <c r="AK109" s="161"/>
      <c r="AL109" s="161"/>
      <c r="AM109" s="161"/>
      <c r="AN109" s="161"/>
      <c r="AO109" s="161"/>
      <c r="AP109" s="161"/>
      <c r="AQ109" s="161"/>
      <c r="AR109" s="141"/>
      <c r="AS109" s="141"/>
      <c r="AT109" s="141"/>
      <c r="AU109" s="141"/>
      <c r="AV109" s="141"/>
      <c r="AW109" s="141"/>
      <c r="AX109" s="141"/>
      <c r="AY109" s="141"/>
      <c r="AZ109" s="141"/>
      <c r="BA109" s="142"/>
      <c r="BB109" s="160"/>
      <c r="BC109" s="161"/>
      <c r="BD109" s="161"/>
      <c r="BE109" s="161"/>
      <c r="BF109" s="161"/>
      <c r="BG109" s="161"/>
      <c r="BH109" s="161"/>
      <c r="BI109" s="161"/>
      <c r="BJ109" s="161"/>
      <c r="BK109" s="161"/>
      <c r="BL109" s="141"/>
      <c r="BM109" s="141"/>
      <c r="BN109" s="141"/>
      <c r="BO109" s="141"/>
      <c r="BP109" s="141"/>
      <c r="BQ109" s="141"/>
      <c r="BR109" s="141"/>
      <c r="BS109" s="141"/>
      <c r="BT109" s="141"/>
      <c r="BU109" s="142"/>
      <c r="BV109" s="160"/>
      <c r="BW109" s="161"/>
      <c r="BX109" s="161"/>
      <c r="BY109" s="161"/>
      <c r="BZ109" s="161"/>
      <c r="CA109" s="161"/>
      <c r="CB109" s="161"/>
      <c r="CC109" s="161"/>
      <c r="CD109" s="161"/>
      <c r="CE109" s="161"/>
      <c r="CF109" s="141"/>
      <c r="CG109" s="141"/>
      <c r="CH109" s="141"/>
      <c r="CI109" s="141"/>
      <c r="CJ109" s="141"/>
      <c r="CK109" s="141"/>
      <c r="CL109" s="141"/>
      <c r="CM109" s="141"/>
      <c r="CN109" s="141"/>
      <c r="CO109" s="142"/>
    </row>
    <row r="110" spans="1:134" ht="13" customHeight="1" x14ac:dyDescent="0.35">
      <c r="A110" s="137" t="s">
        <v>159</v>
      </c>
      <c r="B110" s="94"/>
      <c r="C110" s="94"/>
      <c r="D110" s="94"/>
      <c r="E110" s="94"/>
      <c r="F110" s="94"/>
      <c r="G110" s="94"/>
      <c r="H110" s="94"/>
      <c r="I110" s="94"/>
      <c r="J110" s="94"/>
      <c r="K110" s="94"/>
      <c r="L110" s="94"/>
      <c r="M110" s="94"/>
      <c r="N110" s="160"/>
      <c r="O110" s="161"/>
      <c r="P110" s="161"/>
      <c r="Q110" s="161"/>
      <c r="R110" s="161"/>
      <c r="S110" s="161"/>
      <c r="T110" s="161"/>
      <c r="U110" s="161"/>
      <c r="V110" s="161"/>
      <c r="W110" s="161"/>
      <c r="X110" s="141"/>
      <c r="Y110" s="141"/>
      <c r="Z110" s="141"/>
      <c r="AA110" s="141"/>
      <c r="AB110" s="141"/>
      <c r="AC110" s="141"/>
      <c r="AD110" s="141"/>
      <c r="AE110" s="141"/>
      <c r="AF110" s="141"/>
      <c r="AG110" s="142"/>
      <c r="AH110" s="160"/>
      <c r="AI110" s="161"/>
      <c r="AJ110" s="161"/>
      <c r="AK110" s="161"/>
      <c r="AL110" s="161"/>
      <c r="AM110" s="161"/>
      <c r="AN110" s="161"/>
      <c r="AO110" s="161"/>
      <c r="AP110" s="161"/>
      <c r="AQ110" s="161"/>
      <c r="AR110" s="141"/>
      <c r="AS110" s="141"/>
      <c r="AT110" s="141"/>
      <c r="AU110" s="141"/>
      <c r="AV110" s="141"/>
      <c r="AW110" s="141"/>
      <c r="AX110" s="141"/>
      <c r="AY110" s="141"/>
      <c r="AZ110" s="141"/>
      <c r="BA110" s="142"/>
      <c r="BB110" s="160"/>
      <c r="BC110" s="161"/>
      <c r="BD110" s="161"/>
      <c r="BE110" s="161"/>
      <c r="BF110" s="161"/>
      <c r="BG110" s="161"/>
      <c r="BH110" s="161"/>
      <c r="BI110" s="161"/>
      <c r="BJ110" s="161"/>
      <c r="BK110" s="161"/>
      <c r="BL110" s="141"/>
      <c r="BM110" s="141"/>
      <c r="BN110" s="141"/>
      <c r="BO110" s="141"/>
      <c r="BP110" s="141"/>
      <c r="BQ110" s="141"/>
      <c r="BR110" s="141"/>
      <c r="BS110" s="141"/>
      <c r="BT110" s="141"/>
      <c r="BU110" s="142"/>
      <c r="BV110" s="160"/>
      <c r="BW110" s="161"/>
      <c r="BX110" s="161"/>
      <c r="BY110" s="161"/>
      <c r="BZ110" s="161"/>
      <c r="CA110" s="161"/>
      <c r="CB110" s="161"/>
      <c r="CC110" s="161"/>
      <c r="CD110" s="161"/>
      <c r="CE110" s="161"/>
      <c r="CF110" s="141"/>
      <c r="CG110" s="141"/>
      <c r="CH110" s="141"/>
      <c r="CI110" s="141"/>
      <c r="CJ110" s="141"/>
      <c r="CK110" s="141"/>
      <c r="CL110" s="141"/>
      <c r="CM110" s="141"/>
      <c r="CN110" s="141"/>
      <c r="CO110" s="142"/>
    </row>
    <row r="111" spans="1:134" ht="13" customHeight="1" x14ac:dyDescent="0.35">
      <c r="A111" s="137" t="s">
        <v>160</v>
      </c>
      <c r="B111" s="94"/>
      <c r="C111" s="94"/>
      <c r="D111" s="94"/>
      <c r="E111" s="94"/>
      <c r="F111" s="94"/>
      <c r="G111" s="94"/>
      <c r="H111" s="94"/>
      <c r="I111" s="94"/>
      <c r="J111" s="94"/>
      <c r="K111" s="94"/>
      <c r="L111" s="94"/>
      <c r="M111" s="94"/>
      <c r="N111" s="160"/>
      <c r="O111" s="161"/>
      <c r="P111" s="161"/>
      <c r="Q111" s="161"/>
      <c r="R111" s="161"/>
      <c r="S111" s="161"/>
      <c r="T111" s="161"/>
      <c r="U111" s="161"/>
      <c r="V111" s="161"/>
      <c r="W111" s="161"/>
      <c r="X111" s="141"/>
      <c r="Y111" s="141"/>
      <c r="Z111" s="141"/>
      <c r="AA111" s="141"/>
      <c r="AB111" s="141"/>
      <c r="AC111" s="141"/>
      <c r="AD111" s="141"/>
      <c r="AE111" s="141"/>
      <c r="AF111" s="141"/>
      <c r="AG111" s="142"/>
      <c r="AH111" s="160"/>
      <c r="AI111" s="161"/>
      <c r="AJ111" s="161"/>
      <c r="AK111" s="161"/>
      <c r="AL111" s="161"/>
      <c r="AM111" s="161"/>
      <c r="AN111" s="161"/>
      <c r="AO111" s="161"/>
      <c r="AP111" s="161"/>
      <c r="AQ111" s="161"/>
      <c r="AR111" s="141"/>
      <c r="AS111" s="141"/>
      <c r="AT111" s="141"/>
      <c r="AU111" s="141"/>
      <c r="AV111" s="141"/>
      <c r="AW111" s="141"/>
      <c r="AX111" s="141"/>
      <c r="AY111" s="141"/>
      <c r="AZ111" s="141"/>
      <c r="BA111" s="142"/>
      <c r="BB111" s="160"/>
      <c r="BC111" s="161"/>
      <c r="BD111" s="161"/>
      <c r="BE111" s="161"/>
      <c r="BF111" s="161"/>
      <c r="BG111" s="161"/>
      <c r="BH111" s="161"/>
      <c r="BI111" s="161"/>
      <c r="BJ111" s="161"/>
      <c r="BK111" s="161"/>
      <c r="BL111" s="141"/>
      <c r="BM111" s="141"/>
      <c r="BN111" s="141"/>
      <c r="BO111" s="141"/>
      <c r="BP111" s="141"/>
      <c r="BQ111" s="141"/>
      <c r="BR111" s="141"/>
      <c r="BS111" s="141"/>
      <c r="BT111" s="141"/>
      <c r="BU111" s="142"/>
      <c r="BV111" s="160"/>
      <c r="BW111" s="161"/>
      <c r="BX111" s="161"/>
      <c r="BY111" s="161"/>
      <c r="BZ111" s="161"/>
      <c r="CA111" s="161"/>
      <c r="CB111" s="161"/>
      <c r="CC111" s="161"/>
      <c r="CD111" s="161"/>
      <c r="CE111" s="161"/>
      <c r="CF111" s="141"/>
      <c r="CG111" s="141"/>
      <c r="CH111" s="141"/>
      <c r="CI111" s="141"/>
      <c r="CJ111" s="141"/>
      <c r="CK111" s="141"/>
      <c r="CL111" s="141"/>
      <c r="CM111" s="141"/>
      <c r="CN111" s="141"/>
      <c r="CO111" s="142"/>
      <c r="CS111" s="68"/>
      <c r="CT111" s="68"/>
      <c r="CU111" s="68"/>
      <c r="CV111" s="68"/>
      <c r="CW111" s="68"/>
      <c r="CX111" s="68"/>
      <c r="CY111" s="68"/>
      <c r="CZ111" s="68"/>
      <c r="DA111" s="68"/>
      <c r="DB111" s="68"/>
      <c r="DC111" s="68"/>
      <c r="DD111" s="68"/>
      <c r="DE111" s="68"/>
      <c r="DF111" s="68"/>
      <c r="DG111" s="68"/>
      <c r="DH111" s="68"/>
      <c r="DI111" s="68"/>
      <c r="DJ111" s="68"/>
      <c r="DK111" s="68"/>
      <c r="DL111" s="68"/>
      <c r="DM111" s="68"/>
      <c r="DN111" s="68"/>
      <c r="DO111" s="68"/>
      <c r="DP111" s="68"/>
      <c r="DQ111" s="68"/>
      <c r="DR111" s="68"/>
      <c r="DS111" s="68"/>
      <c r="DT111" s="68"/>
      <c r="DU111" s="68"/>
      <c r="DV111" s="68"/>
      <c r="DW111" s="68"/>
      <c r="DX111" s="68"/>
      <c r="DY111" s="68"/>
      <c r="DZ111" s="68"/>
      <c r="EA111" s="68"/>
      <c r="EB111" s="68"/>
      <c r="EC111" s="68"/>
      <c r="ED111" s="68"/>
    </row>
    <row r="112" spans="1:134" ht="13" customHeight="1" x14ac:dyDescent="0.35">
      <c r="A112" s="137" t="s">
        <v>162</v>
      </c>
      <c r="B112" s="94"/>
      <c r="C112" s="94"/>
      <c r="D112" s="94"/>
      <c r="E112" s="94"/>
      <c r="F112" s="94"/>
      <c r="G112" s="94"/>
      <c r="H112" s="94"/>
      <c r="I112" s="94"/>
      <c r="J112" s="94"/>
      <c r="K112" s="94"/>
      <c r="L112" s="94"/>
      <c r="M112" s="94"/>
      <c r="N112" s="160"/>
      <c r="O112" s="161"/>
      <c r="P112" s="161"/>
      <c r="Q112" s="161"/>
      <c r="R112" s="161"/>
      <c r="S112" s="161"/>
      <c r="T112" s="161"/>
      <c r="U112" s="161"/>
      <c r="V112" s="161"/>
      <c r="W112" s="161"/>
      <c r="X112" s="141"/>
      <c r="Y112" s="141"/>
      <c r="Z112" s="141"/>
      <c r="AA112" s="141"/>
      <c r="AB112" s="141"/>
      <c r="AC112" s="141"/>
      <c r="AD112" s="141"/>
      <c r="AE112" s="141"/>
      <c r="AF112" s="141"/>
      <c r="AG112" s="142"/>
      <c r="AH112" s="160"/>
      <c r="AI112" s="161"/>
      <c r="AJ112" s="161"/>
      <c r="AK112" s="161"/>
      <c r="AL112" s="161"/>
      <c r="AM112" s="161"/>
      <c r="AN112" s="161"/>
      <c r="AO112" s="161"/>
      <c r="AP112" s="161"/>
      <c r="AQ112" s="161"/>
      <c r="AR112" s="141"/>
      <c r="AS112" s="141"/>
      <c r="AT112" s="141"/>
      <c r="AU112" s="141"/>
      <c r="AV112" s="141"/>
      <c r="AW112" s="141"/>
      <c r="AX112" s="141"/>
      <c r="AY112" s="141"/>
      <c r="AZ112" s="141"/>
      <c r="BA112" s="142"/>
      <c r="BB112" s="160"/>
      <c r="BC112" s="161"/>
      <c r="BD112" s="161"/>
      <c r="BE112" s="161"/>
      <c r="BF112" s="161"/>
      <c r="BG112" s="161"/>
      <c r="BH112" s="161"/>
      <c r="BI112" s="161"/>
      <c r="BJ112" s="161"/>
      <c r="BK112" s="161"/>
      <c r="BL112" s="141"/>
      <c r="BM112" s="141"/>
      <c r="BN112" s="141"/>
      <c r="BO112" s="141"/>
      <c r="BP112" s="141"/>
      <c r="BQ112" s="141"/>
      <c r="BR112" s="141"/>
      <c r="BS112" s="141"/>
      <c r="BT112" s="141"/>
      <c r="BU112" s="142"/>
      <c r="BV112" s="160"/>
      <c r="BW112" s="161"/>
      <c r="BX112" s="161"/>
      <c r="BY112" s="161"/>
      <c r="BZ112" s="161"/>
      <c r="CA112" s="161"/>
      <c r="CB112" s="161"/>
      <c r="CC112" s="161"/>
      <c r="CD112" s="161"/>
      <c r="CE112" s="161"/>
      <c r="CF112" s="141"/>
      <c r="CG112" s="141"/>
      <c r="CH112" s="141"/>
      <c r="CI112" s="141"/>
      <c r="CJ112" s="141"/>
      <c r="CK112" s="141"/>
      <c r="CL112" s="141"/>
      <c r="CM112" s="141"/>
      <c r="CN112" s="141"/>
      <c r="CO112" s="142"/>
    </row>
    <row r="113" spans="1:93" ht="13" customHeight="1" x14ac:dyDescent="0.35">
      <c r="A113" s="137" t="s">
        <v>142</v>
      </c>
      <c r="B113" s="94"/>
      <c r="C113" s="94"/>
      <c r="D113" s="94"/>
      <c r="E113" s="94"/>
      <c r="F113" s="94"/>
      <c r="G113" s="94"/>
      <c r="H113" s="94"/>
      <c r="I113" s="94"/>
      <c r="J113" s="94"/>
      <c r="K113" s="94"/>
      <c r="L113" s="94"/>
      <c r="M113" s="94"/>
      <c r="N113" s="160"/>
      <c r="O113" s="161"/>
      <c r="P113" s="161"/>
      <c r="Q113" s="161"/>
      <c r="R113" s="161"/>
      <c r="S113" s="161"/>
      <c r="T113" s="161"/>
      <c r="U113" s="161"/>
      <c r="V113" s="161"/>
      <c r="W113" s="161"/>
      <c r="X113" s="141"/>
      <c r="Y113" s="141"/>
      <c r="Z113" s="141"/>
      <c r="AA113" s="141"/>
      <c r="AB113" s="141"/>
      <c r="AC113" s="141"/>
      <c r="AD113" s="141"/>
      <c r="AE113" s="141"/>
      <c r="AF113" s="141"/>
      <c r="AG113" s="142"/>
      <c r="AH113" s="160"/>
      <c r="AI113" s="161"/>
      <c r="AJ113" s="161"/>
      <c r="AK113" s="161"/>
      <c r="AL113" s="161"/>
      <c r="AM113" s="161"/>
      <c r="AN113" s="161"/>
      <c r="AO113" s="161"/>
      <c r="AP113" s="161"/>
      <c r="AQ113" s="161"/>
      <c r="AR113" s="141"/>
      <c r="AS113" s="141"/>
      <c r="AT113" s="141"/>
      <c r="AU113" s="141"/>
      <c r="AV113" s="141"/>
      <c r="AW113" s="141"/>
      <c r="AX113" s="141"/>
      <c r="AY113" s="141"/>
      <c r="AZ113" s="141"/>
      <c r="BA113" s="142"/>
      <c r="BB113" s="160"/>
      <c r="BC113" s="161"/>
      <c r="BD113" s="161"/>
      <c r="BE113" s="161"/>
      <c r="BF113" s="161"/>
      <c r="BG113" s="161"/>
      <c r="BH113" s="161"/>
      <c r="BI113" s="161"/>
      <c r="BJ113" s="161"/>
      <c r="BK113" s="161"/>
      <c r="BL113" s="141"/>
      <c r="BM113" s="141"/>
      <c r="BN113" s="141"/>
      <c r="BO113" s="141"/>
      <c r="BP113" s="141"/>
      <c r="BQ113" s="141"/>
      <c r="BR113" s="141"/>
      <c r="BS113" s="141"/>
      <c r="BT113" s="141"/>
      <c r="BU113" s="142"/>
      <c r="BV113" s="160"/>
      <c r="BW113" s="161"/>
      <c r="BX113" s="161"/>
      <c r="BY113" s="161"/>
      <c r="BZ113" s="161"/>
      <c r="CA113" s="161"/>
      <c r="CB113" s="161"/>
      <c r="CC113" s="161"/>
      <c r="CD113" s="161"/>
      <c r="CE113" s="161"/>
      <c r="CF113" s="141"/>
      <c r="CG113" s="141"/>
      <c r="CH113" s="141"/>
      <c r="CI113" s="141"/>
      <c r="CJ113" s="141"/>
      <c r="CK113" s="141"/>
      <c r="CL113" s="141"/>
      <c r="CM113" s="141"/>
      <c r="CN113" s="141"/>
      <c r="CO113" s="142"/>
    </row>
    <row r="114" spans="1:93" s="9" customFormat="1" ht="13" customHeight="1" x14ac:dyDescent="0.35">
      <c r="A114" s="137" t="s">
        <v>143</v>
      </c>
      <c r="B114" s="94"/>
      <c r="C114" s="94"/>
      <c r="D114" s="94"/>
      <c r="E114" s="94"/>
      <c r="F114" s="94"/>
      <c r="G114" s="94"/>
      <c r="H114" s="94"/>
      <c r="I114" s="94"/>
      <c r="J114" s="94"/>
      <c r="K114" s="94"/>
      <c r="L114" s="94"/>
      <c r="M114" s="94"/>
      <c r="N114" s="160"/>
      <c r="O114" s="161"/>
      <c r="P114" s="161"/>
      <c r="Q114" s="161"/>
      <c r="R114" s="161"/>
      <c r="S114" s="161"/>
      <c r="T114" s="161"/>
      <c r="U114" s="161"/>
      <c r="V114" s="161"/>
      <c r="W114" s="161"/>
      <c r="X114" s="141"/>
      <c r="Y114" s="141"/>
      <c r="Z114" s="141"/>
      <c r="AA114" s="141"/>
      <c r="AB114" s="141"/>
      <c r="AC114" s="141"/>
      <c r="AD114" s="141"/>
      <c r="AE114" s="141"/>
      <c r="AF114" s="141"/>
      <c r="AG114" s="142"/>
      <c r="AH114" s="160"/>
      <c r="AI114" s="161"/>
      <c r="AJ114" s="161"/>
      <c r="AK114" s="161"/>
      <c r="AL114" s="161"/>
      <c r="AM114" s="161"/>
      <c r="AN114" s="161"/>
      <c r="AO114" s="161"/>
      <c r="AP114" s="161"/>
      <c r="AQ114" s="161"/>
      <c r="AR114" s="141"/>
      <c r="AS114" s="141"/>
      <c r="AT114" s="141"/>
      <c r="AU114" s="141"/>
      <c r="AV114" s="141"/>
      <c r="AW114" s="141"/>
      <c r="AX114" s="141"/>
      <c r="AY114" s="141"/>
      <c r="AZ114" s="141"/>
      <c r="BA114" s="142"/>
      <c r="BB114" s="160"/>
      <c r="BC114" s="161"/>
      <c r="BD114" s="161"/>
      <c r="BE114" s="161"/>
      <c r="BF114" s="161"/>
      <c r="BG114" s="161"/>
      <c r="BH114" s="161"/>
      <c r="BI114" s="161"/>
      <c r="BJ114" s="161"/>
      <c r="BK114" s="161"/>
      <c r="BL114" s="141"/>
      <c r="BM114" s="141"/>
      <c r="BN114" s="141"/>
      <c r="BO114" s="141"/>
      <c r="BP114" s="141"/>
      <c r="BQ114" s="141"/>
      <c r="BR114" s="141"/>
      <c r="BS114" s="141"/>
      <c r="BT114" s="141"/>
      <c r="BU114" s="142"/>
      <c r="BV114" s="160"/>
      <c r="BW114" s="161"/>
      <c r="BX114" s="161"/>
      <c r="BY114" s="161"/>
      <c r="BZ114" s="161"/>
      <c r="CA114" s="161"/>
      <c r="CB114" s="161"/>
      <c r="CC114" s="161"/>
      <c r="CD114" s="161"/>
      <c r="CE114" s="161"/>
      <c r="CF114" s="141"/>
      <c r="CG114" s="141"/>
      <c r="CH114" s="141"/>
      <c r="CI114" s="141"/>
      <c r="CJ114" s="141"/>
      <c r="CK114" s="141"/>
      <c r="CL114" s="141"/>
      <c r="CM114" s="141"/>
      <c r="CN114" s="141"/>
      <c r="CO114" s="142"/>
    </row>
    <row r="115" spans="1:93" s="9" customFormat="1" ht="13" customHeight="1" x14ac:dyDescent="0.35">
      <c r="A115" s="137" t="s">
        <v>144</v>
      </c>
      <c r="B115" s="137"/>
      <c r="C115" s="137"/>
      <c r="D115" s="137"/>
      <c r="E115" s="137"/>
      <c r="F115" s="137"/>
      <c r="G115" s="137"/>
      <c r="H115" s="137"/>
      <c r="I115" s="137"/>
      <c r="J115" s="137"/>
      <c r="K115" s="137"/>
      <c r="L115" s="137"/>
      <c r="M115" s="94"/>
      <c r="N115" s="158"/>
      <c r="O115" s="159"/>
      <c r="P115" s="159"/>
      <c r="Q115" s="159"/>
      <c r="R115" s="159"/>
      <c r="S115" s="159"/>
      <c r="T115" s="159"/>
      <c r="U115" s="159"/>
      <c r="V115" s="159"/>
      <c r="W115" s="159"/>
      <c r="X115" s="159"/>
      <c r="Y115" s="159"/>
      <c r="Z115" s="159"/>
      <c r="AA115" s="159"/>
      <c r="AB115" s="159"/>
      <c r="AC115" s="159"/>
      <c r="AD115" s="159"/>
      <c r="AE115" s="159"/>
      <c r="AF115" s="159"/>
      <c r="AG115" s="159"/>
      <c r="AH115" s="159"/>
      <c r="AI115" s="159"/>
      <c r="AJ115" s="159"/>
      <c r="AK115" s="159"/>
      <c r="AL115" s="159"/>
      <c r="AM115" s="159"/>
      <c r="AN115" s="159"/>
      <c r="AO115" s="159"/>
      <c r="AP115" s="159"/>
      <c r="AQ115" s="159"/>
      <c r="AR115" s="159"/>
      <c r="AS115" s="159"/>
      <c r="AT115" s="159"/>
      <c r="AU115" s="159"/>
      <c r="AV115" s="159"/>
      <c r="AW115" s="159"/>
      <c r="AX115" s="159"/>
      <c r="AY115" s="159"/>
      <c r="AZ115" s="159"/>
      <c r="BA115" s="165"/>
      <c r="BB115" s="158"/>
      <c r="BC115" s="159"/>
      <c r="BD115" s="159"/>
      <c r="BE115" s="159"/>
      <c r="BF115" s="159"/>
      <c r="BG115" s="159"/>
      <c r="BH115" s="159"/>
      <c r="BI115" s="159"/>
      <c r="BJ115" s="159"/>
      <c r="BK115" s="159"/>
      <c r="BL115" s="159"/>
      <c r="BM115" s="159"/>
      <c r="BN115" s="159"/>
      <c r="BO115" s="159"/>
      <c r="BP115" s="159"/>
      <c r="BQ115" s="159"/>
      <c r="BR115" s="159"/>
      <c r="BS115" s="159"/>
      <c r="BT115" s="159"/>
      <c r="BU115" s="159"/>
      <c r="BV115" s="159"/>
      <c r="BW115" s="159"/>
      <c r="BX115" s="159"/>
      <c r="BY115" s="159"/>
      <c r="BZ115" s="159"/>
      <c r="CA115" s="159"/>
      <c r="CB115" s="159"/>
      <c r="CC115" s="159"/>
      <c r="CD115" s="159"/>
      <c r="CE115" s="159"/>
      <c r="CF115" s="159"/>
      <c r="CG115" s="159"/>
      <c r="CH115" s="159"/>
      <c r="CI115" s="159"/>
      <c r="CJ115" s="159"/>
      <c r="CK115" s="159"/>
      <c r="CL115" s="159"/>
      <c r="CM115" s="159"/>
      <c r="CN115" s="159"/>
      <c r="CO115" s="165"/>
    </row>
    <row r="116" spans="1:93" s="9" customFormat="1" ht="13" customHeight="1" x14ac:dyDescent="0.35">
      <c r="A116" s="137" t="s">
        <v>145</v>
      </c>
      <c r="B116" s="94"/>
      <c r="C116" s="94"/>
      <c r="D116" s="94"/>
      <c r="E116" s="94"/>
      <c r="F116" s="94"/>
      <c r="G116" s="94"/>
      <c r="H116" s="94"/>
      <c r="I116" s="94"/>
      <c r="J116" s="94"/>
      <c r="K116" s="94"/>
      <c r="L116" s="94"/>
      <c r="M116" s="94"/>
      <c r="N116" s="168"/>
      <c r="O116" s="141"/>
      <c r="P116" s="141"/>
      <c r="Q116" s="141"/>
      <c r="R116" s="141"/>
      <c r="S116" s="141"/>
      <c r="T116" s="141"/>
      <c r="U116" s="141"/>
      <c r="V116" s="141"/>
      <c r="W116" s="141"/>
      <c r="X116" s="141"/>
      <c r="Y116" s="141"/>
      <c r="Z116" s="141"/>
      <c r="AA116" s="141"/>
      <c r="AB116" s="141"/>
      <c r="AC116" s="141"/>
      <c r="AD116" s="141"/>
      <c r="AE116" s="141"/>
      <c r="AF116" s="141"/>
      <c r="AG116" s="141"/>
      <c r="AH116" s="141"/>
      <c r="AI116" s="141"/>
      <c r="AJ116" s="141"/>
      <c r="AK116" s="141"/>
      <c r="AL116" s="141"/>
      <c r="AM116" s="141"/>
      <c r="AN116" s="141"/>
      <c r="AO116" s="141"/>
      <c r="AP116" s="141"/>
      <c r="AQ116" s="141"/>
      <c r="AR116" s="141"/>
      <c r="AS116" s="141"/>
      <c r="AT116" s="141"/>
      <c r="AU116" s="141"/>
      <c r="AV116" s="141"/>
      <c r="AW116" s="141"/>
      <c r="AX116" s="141"/>
      <c r="AY116" s="141"/>
      <c r="AZ116" s="141"/>
      <c r="BA116" s="142"/>
      <c r="BB116" s="168"/>
      <c r="BC116" s="141"/>
      <c r="BD116" s="141"/>
      <c r="BE116" s="141"/>
      <c r="BF116" s="141"/>
      <c r="BG116" s="141"/>
      <c r="BH116" s="141"/>
      <c r="BI116" s="141"/>
      <c r="BJ116" s="141"/>
      <c r="BK116" s="141"/>
      <c r="BL116" s="141"/>
      <c r="BM116" s="141"/>
      <c r="BN116" s="141"/>
      <c r="BO116" s="141"/>
      <c r="BP116" s="141"/>
      <c r="BQ116" s="141"/>
      <c r="BR116" s="141"/>
      <c r="BS116" s="141"/>
      <c r="BT116" s="141"/>
      <c r="BU116" s="141"/>
      <c r="BV116" s="141"/>
      <c r="BW116" s="141"/>
      <c r="BX116" s="141"/>
      <c r="BY116" s="141"/>
      <c r="BZ116" s="141"/>
      <c r="CA116" s="141"/>
      <c r="CB116" s="141"/>
      <c r="CC116" s="141"/>
      <c r="CD116" s="141"/>
      <c r="CE116" s="141"/>
      <c r="CF116" s="141"/>
      <c r="CG116" s="141"/>
      <c r="CH116" s="141"/>
      <c r="CI116" s="141"/>
      <c r="CJ116" s="141"/>
      <c r="CK116" s="141"/>
      <c r="CL116" s="141"/>
      <c r="CM116" s="141"/>
      <c r="CN116" s="141"/>
      <c r="CO116" s="142"/>
    </row>
    <row r="117" spans="1:93" ht="13" customHeight="1" x14ac:dyDescent="0.35">
      <c r="A117" s="137" t="s">
        <v>146</v>
      </c>
      <c r="B117" s="94"/>
      <c r="C117" s="94"/>
      <c r="D117" s="94"/>
      <c r="E117" s="94"/>
      <c r="F117" s="94"/>
      <c r="G117" s="94"/>
      <c r="H117" s="94"/>
      <c r="I117" s="94"/>
      <c r="J117" s="94"/>
      <c r="K117" s="94"/>
      <c r="L117" s="94"/>
      <c r="M117" s="94"/>
      <c r="N117" s="168" t="s">
        <v>210</v>
      </c>
      <c r="O117" s="141"/>
      <c r="P117" s="141"/>
      <c r="Q117" s="141"/>
      <c r="R117" s="141"/>
      <c r="S117" s="141"/>
      <c r="T117" s="141"/>
      <c r="U117" s="141"/>
      <c r="V117" s="141"/>
      <c r="W117" s="141"/>
      <c r="X117" s="141"/>
      <c r="Y117" s="141"/>
      <c r="Z117" s="141"/>
      <c r="AA117" s="141"/>
      <c r="AB117" s="141"/>
      <c r="AC117" s="141"/>
      <c r="AD117" s="141"/>
      <c r="AE117" s="141"/>
      <c r="AF117" s="141"/>
      <c r="AG117" s="141"/>
      <c r="AH117" s="141"/>
      <c r="AI117" s="141"/>
      <c r="AJ117" s="141"/>
      <c r="AK117" s="141"/>
      <c r="AL117" s="141"/>
      <c r="AM117" s="141"/>
      <c r="AN117" s="141"/>
      <c r="AO117" s="141"/>
      <c r="AP117" s="141"/>
      <c r="AQ117" s="141"/>
      <c r="AR117" s="141"/>
      <c r="AS117" s="141"/>
      <c r="AT117" s="141"/>
      <c r="AU117" s="141"/>
      <c r="AV117" s="141"/>
      <c r="AW117" s="141"/>
      <c r="AX117" s="141"/>
      <c r="AY117" s="141"/>
      <c r="AZ117" s="141"/>
      <c r="BA117" s="142"/>
      <c r="BB117" s="168"/>
      <c r="BC117" s="141"/>
      <c r="BD117" s="141"/>
      <c r="BE117" s="141"/>
      <c r="BF117" s="141"/>
      <c r="BG117" s="141"/>
      <c r="BH117" s="141"/>
      <c r="BI117" s="141"/>
      <c r="BJ117" s="141"/>
      <c r="BK117" s="141"/>
      <c r="BL117" s="141"/>
      <c r="BM117" s="141"/>
      <c r="BN117" s="141"/>
      <c r="BO117" s="141"/>
      <c r="BP117" s="141"/>
      <c r="BQ117" s="141"/>
      <c r="BR117" s="141"/>
      <c r="BS117" s="141"/>
      <c r="BT117" s="141"/>
      <c r="BU117" s="141"/>
      <c r="BV117" s="141"/>
      <c r="BW117" s="141"/>
      <c r="BX117" s="141"/>
      <c r="BY117" s="141"/>
      <c r="BZ117" s="141"/>
      <c r="CA117" s="141"/>
      <c r="CB117" s="141"/>
      <c r="CC117" s="141"/>
      <c r="CD117" s="141"/>
      <c r="CE117" s="141"/>
      <c r="CF117" s="141"/>
      <c r="CG117" s="141"/>
      <c r="CH117" s="141"/>
      <c r="CI117" s="141"/>
      <c r="CJ117" s="141"/>
      <c r="CK117" s="141"/>
      <c r="CL117" s="141"/>
      <c r="CM117" s="141"/>
      <c r="CN117" s="141"/>
      <c r="CO117" s="142"/>
    </row>
    <row r="118" spans="1:93" ht="4" customHeight="1" x14ac:dyDescent="0.35">
      <c r="A118" s="47"/>
      <c r="B118" s="48"/>
      <c r="C118" s="48"/>
      <c r="D118" s="48"/>
      <c r="E118" s="48"/>
      <c r="F118" s="48"/>
      <c r="G118" s="48"/>
      <c r="H118" s="48"/>
      <c r="I118" s="48"/>
      <c r="J118" s="48"/>
      <c r="K118" s="48"/>
      <c r="L118" s="48"/>
      <c r="M118" s="48"/>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row>
    <row r="119" spans="1:93" x14ac:dyDescent="0.35">
      <c r="A119" s="9" t="s">
        <v>290</v>
      </c>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166" t="s">
        <v>22</v>
      </c>
      <c r="BE119" s="166"/>
      <c r="BF119" s="166"/>
      <c r="BG119" s="166"/>
      <c r="BH119" s="166"/>
      <c r="BI119" s="3"/>
      <c r="BJ119" s="3"/>
      <c r="BP119" s="3"/>
      <c r="BV119" s="3"/>
      <c r="BW119" s="3"/>
      <c r="BX119" s="3"/>
      <c r="BY119" s="3"/>
      <c r="CE119" s="3"/>
      <c r="CF119" s="3"/>
      <c r="CG119" s="3"/>
      <c r="CH119" s="3"/>
      <c r="CI119" s="3"/>
      <c r="CJ119" s="3"/>
      <c r="CK119" s="3"/>
      <c r="CL119" s="3"/>
      <c r="CM119" s="3"/>
      <c r="CN119" s="3"/>
      <c r="CO119" s="3"/>
    </row>
    <row r="120" spans="1:93"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row>
    <row r="121" spans="1:93" x14ac:dyDescent="0.35">
      <c r="A121" s="8" t="s">
        <v>291</v>
      </c>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row>
    <row r="122" spans="1:93" ht="25.5" customHeight="1" x14ac:dyDescent="0.35">
      <c r="A122" s="167" t="s">
        <v>344</v>
      </c>
      <c r="B122" s="167"/>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7"/>
      <c r="BA122" s="167"/>
      <c r="BB122" s="167"/>
      <c r="BC122" s="167"/>
      <c r="BD122" s="167"/>
      <c r="BE122" s="167"/>
      <c r="BF122" s="167"/>
      <c r="BG122" s="167"/>
      <c r="BH122" s="167"/>
      <c r="BI122" s="167"/>
      <c r="BJ122" s="167"/>
      <c r="BK122" s="167"/>
      <c r="BL122" s="167"/>
      <c r="BM122" s="167"/>
      <c r="BN122" s="167"/>
      <c r="BO122" s="167"/>
      <c r="BP122" s="167"/>
      <c r="BQ122" s="167"/>
      <c r="BR122" s="167"/>
      <c r="BS122" s="167"/>
      <c r="BT122" s="167"/>
      <c r="BU122" s="167"/>
      <c r="BV122" s="167"/>
      <c r="BW122" s="167"/>
      <c r="BX122" s="167"/>
      <c r="BY122" s="167"/>
      <c r="BZ122" s="167"/>
      <c r="CA122" s="167"/>
      <c r="CB122" s="167"/>
      <c r="CC122" s="167"/>
      <c r="CD122" s="167"/>
      <c r="CE122" s="167"/>
      <c r="CF122" s="167"/>
      <c r="CG122" s="167"/>
      <c r="CH122" s="167"/>
      <c r="CI122" s="167"/>
      <c r="CJ122" s="167"/>
      <c r="CK122" s="167"/>
      <c r="CL122" s="167"/>
      <c r="CM122" s="167"/>
      <c r="CN122" s="167"/>
      <c r="CO122" s="167"/>
    </row>
    <row r="123" spans="1:93" ht="39.75" customHeight="1" x14ac:dyDescent="0.35">
      <c r="A123" s="63" t="s">
        <v>362</v>
      </c>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c r="AH123" s="63"/>
      <c r="AI123" s="63"/>
      <c r="AJ123" s="63"/>
      <c r="AK123" s="63"/>
      <c r="AL123" s="63"/>
      <c r="AM123" s="63"/>
      <c r="AN123" s="63"/>
      <c r="AO123" s="63"/>
      <c r="AP123" s="63"/>
      <c r="AQ123" s="63"/>
      <c r="AR123" s="63"/>
      <c r="AS123" s="63"/>
      <c r="AT123" s="63"/>
      <c r="AU123" s="63"/>
      <c r="AV123" s="63"/>
      <c r="AW123" s="63"/>
      <c r="AX123" s="63"/>
      <c r="AY123" s="63"/>
      <c r="AZ123" s="63"/>
      <c r="BA123" s="63"/>
      <c r="BB123" s="63"/>
      <c r="BC123" s="63"/>
      <c r="BD123" s="63"/>
      <c r="BE123" s="63"/>
      <c r="BF123" s="63"/>
      <c r="BG123" s="63"/>
      <c r="BH123" s="63"/>
      <c r="BI123" s="63"/>
      <c r="BJ123" s="63"/>
      <c r="BK123" s="63"/>
      <c r="BL123" s="63"/>
      <c r="BM123" s="63"/>
      <c r="BN123" s="63"/>
      <c r="BO123" s="63"/>
      <c r="BP123" s="63"/>
      <c r="BQ123" s="63"/>
      <c r="BR123" s="63"/>
      <c r="BS123" s="63"/>
      <c r="BT123" s="63"/>
      <c r="BU123" s="63"/>
      <c r="BV123" s="63"/>
      <c r="BW123" s="63"/>
      <c r="BX123" s="63"/>
      <c r="BY123" s="63"/>
      <c r="BZ123" s="63"/>
      <c r="CA123" s="63"/>
      <c r="CB123" s="63"/>
      <c r="CC123" s="63"/>
      <c r="CD123" s="63"/>
      <c r="CE123" s="63"/>
      <c r="CF123" s="63"/>
      <c r="CG123" s="63"/>
      <c r="CH123" s="63"/>
      <c r="CI123" s="63"/>
      <c r="CJ123" s="63"/>
      <c r="CK123" s="63"/>
      <c r="CL123" s="63"/>
      <c r="CM123" s="63"/>
      <c r="CN123" s="63"/>
      <c r="CO123" s="63"/>
    </row>
    <row r="124" spans="1:93" ht="27.65" customHeight="1" x14ac:dyDescent="0.35">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c r="BJ124" s="53"/>
      <c r="BK124" s="53"/>
      <c r="BL124" s="53"/>
      <c r="BM124" s="53"/>
      <c r="BN124" s="53"/>
      <c r="BO124" s="53"/>
      <c r="BP124" s="53"/>
      <c r="BQ124" s="53"/>
      <c r="BR124" s="53"/>
      <c r="BS124" s="53"/>
      <c r="BT124" s="53"/>
      <c r="BU124" s="53"/>
      <c r="BV124" s="53"/>
      <c r="BW124" s="53"/>
      <c r="BX124" s="53"/>
      <c r="BY124" s="53"/>
      <c r="BZ124" s="53"/>
      <c r="CA124" s="53"/>
      <c r="CB124" s="53"/>
      <c r="CC124" s="53"/>
      <c r="CD124" s="53"/>
      <c r="CE124" s="53"/>
      <c r="CF124" s="53"/>
      <c r="CG124" s="53"/>
      <c r="CH124" s="53"/>
      <c r="CI124" s="53"/>
      <c r="CJ124" s="53"/>
      <c r="CK124" s="53"/>
      <c r="CL124" s="53"/>
      <c r="CM124" s="53"/>
      <c r="CN124" s="53"/>
      <c r="CO124" s="53"/>
    </row>
    <row r="125" spans="1:93" ht="14.15" customHeight="1" x14ac:dyDescent="0.35">
      <c r="A125" s="80"/>
      <c r="B125" s="80"/>
      <c r="C125" s="80"/>
      <c r="D125" s="80"/>
      <c r="E125" s="80"/>
      <c r="F125" s="80"/>
      <c r="G125" s="80"/>
      <c r="H125" s="80"/>
      <c r="I125" s="80"/>
      <c r="J125" s="80"/>
      <c r="K125" s="80"/>
      <c r="L125" s="80"/>
      <c r="M125" s="80"/>
      <c r="N125" s="80"/>
      <c r="O125" s="80"/>
      <c r="P125" s="80"/>
      <c r="Q125" s="80"/>
      <c r="R125" s="80"/>
      <c r="S125" s="80"/>
      <c r="T125" s="80"/>
      <c r="U125" s="80"/>
      <c r="V125" s="80"/>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164" t="s">
        <v>74</v>
      </c>
      <c r="BE125" s="164"/>
      <c r="BF125" s="164"/>
      <c r="BG125" s="164"/>
      <c r="BH125" s="164"/>
      <c r="BI125" s="164"/>
      <c r="BJ125" s="164"/>
      <c r="BK125" s="164"/>
      <c r="BL125" s="164"/>
      <c r="BM125" s="164"/>
      <c r="BN125" s="164"/>
      <c r="BO125" s="164"/>
      <c r="BP125" s="164"/>
      <c r="BQ125" s="164"/>
      <c r="BR125" s="164"/>
      <c r="BS125" s="164"/>
      <c r="BT125" s="164"/>
      <c r="BU125" s="164"/>
      <c r="BV125" s="164"/>
      <c r="BW125" s="164"/>
      <c r="BX125" s="164"/>
      <c r="BY125" s="164"/>
      <c r="BZ125" s="164"/>
      <c r="CA125" s="164"/>
      <c r="CB125" s="164"/>
      <c r="CC125" s="164"/>
      <c r="CD125" s="164"/>
      <c r="CE125" s="164"/>
      <c r="CF125" s="164"/>
      <c r="CG125" s="164"/>
      <c r="CH125" s="164"/>
      <c r="CI125" s="164"/>
      <c r="CJ125" s="164"/>
      <c r="CK125" s="164"/>
      <c r="CL125" s="164"/>
      <c r="CM125" s="164"/>
      <c r="CN125" s="164"/>
      <c r="CO125" s="164"/>
    </row>
    <row r="126" spans="1:93" ht="14.15" customHeight="1" x14ac:dyDescent="0.35">
      <c r="A126" s="80" t="s">
        <v>205</v>
      </c>
      <c r="B126" s="80"/>
      <c r="C126" s="80"/>
      <c r="D126" s="80"/>
      <c r="E126" s="80"/>
      <c r="F126" s="80"/>
      <c r="G126" s="80"/>
      <c r="H126" s="80"/>
      <c r="I126" s="80"/>
      <c r="J126" s="80"/>
      <c r="K126" s="80"/>
      <c r="L126" s="80"/>
      <c r="M126" s="80"/>
      <c r="N126" s="80"/>
      <c r="O126" s="80"/>
      <c r="P126" s="80"/>
      <c r="Q126" s="80"/>
      <c r="R126" s="80"/>
      <c r="S126" s="80"/>
      <c r="T126" s="80"/>
      <c r="U126" s="80"/>
      <c r="V126" s="80"/>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164" t="s">
        <v>75</v>
      </c>
      <c r="BE126" s="164"/>
      <c r="BF126" s="164"/>
      <c r="BG126" s="164"/>
      <c r="BH126" s="164"/>
      <c r="BI126" s="164"/>
      <c r="BJ126" s="164"/>
      <c r="BK126" s="164"/>
      <c r="BL126" s="164"/>
      <c r="BM126" s="164"/>
      <c r="BN126" s="164"/>
      <c r="BO126" s="164"/>
      <c r="BP126" s="164"/>
      <c r="BQ126" s="164"/>
      <c r="BR126" s="164"/>
      <c r="BS126" s="164"/>
      <c r="BT126" s="164"/>
      <c r="BU126" s="164"/>
      <c r="BV126" s="164"/>
      <c r="BW126" s="164"/>
      <c r="BX126" s="164"/>
      <c r="BY126" s="164"/>
      <c r="BZ126" s="164"/>
      <c r="CA126" s="164"/>
      <c r="CB126" s="164"/>
      <c r="CC126" s="164"/>
      <c r="CD126" s="164"/>
      <c r="CE126" s="164"/>
      <c r="CF126" s="164"/>
      <c r="CG126" s="164"/>
      <c r="CH126" s="164"/>
      <c r="CI126" s="164"/>
      <c r="CJ126" s="164"/>
      <c r="CK126" s="164"/>
      <c r="CL126" s="164"/>
      <c r="CM126" s="164"/>
      <c r="CN126" s="164"/>
      <c r="CO126" s="164"/>
    </row>
    <row r="127" spans="1:93" ht="14.15" customHeight="1" x14ac:dyDescent="0.35">
      <c r="A127" s="163" t="s">
        <v>206</v>
      </c>
      <c r="B127" s="163"/>
      <c r="C127" s="163"/>
      <c r="D127" s="163"/>
      <c r="E127" s="163"/>
      <c r="F127" s="163"/>
      <c r="G127" s="163"/>
      <c r="H127" s="163"/>
      <c r="I127" s="163"/>
      <c r="J127" s="163"/>
      <c r="K127" s="163"/>
      <c r="L127" s="163"/>
      <c r="M127" s="163"/>
      <c r="N127" s="163"/>
      <c r="O127" s="163"/>
      <c r="P127" s="163"/>
      <c r="Q127" s="163"/>
      <c r="R127" s="163"/>
      <c r="S127" s="163"/>
      <c r="T127" s="163"/>
      <c r="U127" s="163"/>
      <c r="V127" s="16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164" t="s">
        <v>292</v>
      </c>
      <c r="BE127" s="164"/>
      <c r="BF127" s="164"/>
      <c r="BG127" s="164"/>
      <c r="BH127" s="164"/>
      <c r="BI127" s="164"/>
      <c r="BJ127" s="164"/>
      <c r="BK127" s="164"/>
      <c r="BL127" s="164"/>
      <c r="BM127" s="164"/>
      <c r="BN127" s="164"/>
      <c r="BO127" s="164"/>
      <c r="BP127" s="164"/>
      <c r="BQ127" s="164"/>
      <c r="BR127" s="164"/>
      <c r="BS127" s="164"/>
      <c r="BT127" s="164"/>
      <c r="BU127" s="164"/>
      <c r="BV127" s="164"/>
      <c r="BW127" s="164"/>
      <c r="BX127" s="164"/>
      <c r="BY127" s="164"/>
      <c r="BZ127" s="164"/>
      <c r="CA127" s="164"/>
      <c r="CB127" s="164"/>
      <c r="CC127" s="164"/>
      <c r="CD127" s="164"/>
      <c r="CE127" s="164"/>
      <c r="CF127" s="164"/>
      <c r="CG127" s="164"/>
      <c r="CH127" s="164"/>
      <c r="CI127" s="164"/>
      <c r="CJ127" s="164"/>
      <c r="CK127" s="164"/>
      <c r="CL127" s="164"/>
      <c r="CM127" s="164"/>
      <c r="CN127" s="164"/>
      <c r="CO127" s="164"/>
    </row>
    <row r="128" spans="1:93" ht="14.15" customHeight="1"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164" t="s">
        <v>293</v>
      </c>
      <c r="BE128" s="164"/>
      <c r="BF128" s="164"/>
      <c r="BG128" s="164"/>
      <c r="BH128" s="164"/>
      <c r="BI128" s="164"/>
      <c r="BJ128" s="164"/>
      <c r="BK128" s="164"/>
      <c r="BL128" s="164"/>
      <c r="BM128" s="164"/>
      <c r="BN128" s="164"/>
      <c r="BO128" s="164"/>
      <c r="BP128" s="164"/>
      <c r="BQ128" s="164"/>
      <c r="BR128" s="164"/>
      <c r="BS128" s="164"/>
      <c r="BT128" s="164"/>
      <c r="BU128" s="164"/>
      <c r="BV128" s="164"/>
      <c r="BW128" s="164"/>
      <c r="BX128" s="164"/>
      <c r="BY128" s="164"/>
      <c r="BZ128" s="164"/>
      <c r="CA128" s="164"/>
      <c r="CB128" s="164"/>
      <c r="CC128" s="164"/>
      <c r="CD128" s="164"/>
      <c r="CE128" s="164"/>
      <c r="CF128" s="164"/>
      <c r="CG128" s="164"/>
      <c r="CH128" s="164"/>
      <c r="CI128" s="164"/>
      <c r="CJ128" s="164"/>
      <c r="CK128" s="164"/>
      <c r="CL128" s="164"/>
      <c r="CM128" s="164"/>
      <c r="CN128" s="164"/>
      <c r="CO128" s="164"/>
    </row>
    <row r="129" spans="1:93"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125" t="s">
        <v>217</v>
      </c>
      <c r="CI129" s="125"/>
      <c r="CJ129" s="125"/>
      <c r="CK129" s="125"/>
      <c r="CL129" s="125"/>
      <c r="CM129" s="125"/>
      <c r="CN129" s="125"/>
      <c r="CO129" s="125"/>
    </row>
    <row r="130" spans="1:93"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row>
    <row r="131" spans="1:93"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row>
    <row r="132" spans="1:93"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row>
    <row r="133" spans="1:93"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CM133" s="3"/>
      <c r="CN133" s="3"/>
      <c r="CO133" s="3"/>
    </row>
    <row r="134" spans="1:93"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row>
    <row r="135" spans="1:93"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row>
    <row r="136" spans="1:93"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row>
    <row r="137" spans="1:93"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row>
    <row r="138" spans="1:93"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row>
    <row r="139" spans="1:93"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row>
    <row r="140" spans="1:93"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row>
    <row r="141" spans="1:93"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row>
    <row r="142" spans="1:93"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row>
    <row r="143" spans="1:93"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row>
    <row r="144" spans="1:93"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row>
    <row r="145" spans="1:93"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row>
    <row r="146" spans="1:93"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row>
    <row r="147" spans="1:93"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row>
    <row r="148" spans="1:93"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row>
    <row r="149" spans="1:93"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row>
    <row r="150" spans="1:93"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row>
    <row r="151" spans="1:93"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row>
    <row r="152" spans="1:93"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row>
    <row r="153" spans="1:93"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row>
    <row r="154" spans="1:93"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row>
    <row r="155" spans="1:93"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row>
    <row r="156" spans="1:93"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row>
    <row r="157" spans="1:93"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row>
    <row r="158" spans="1:93"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row>
    <row r="159" spans="1:93"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row>
    <row r="160" spans="1:93"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row>
    <row r="161" spans="1:93"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row>
    <row r="162" spans="1:93"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row>
    <row r="163" spans="1:93"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row>
    <row r="164" spans="1:93"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row>
    <row r="165" spans="1:93"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row>
    <row r="166" spans="1:93"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row>
    <row r="167" spans="1:93"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row>
    <row r="168" spans="1:93"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row>
    <row r="169" spans="1:93"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row>
    <row r="170" spans="1:93"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row>
    <row r="171" spans="1:93"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row>
    <row r="172" spans="1:93"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row>
    <row r="173" spans="1:93"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row>
    <row r="174" spans="1:93"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row>
    <row r="175" spans="1:93"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row>
    <row r="176" spans="1:93"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row>
    <row r="177" spans="1:93"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row>
    <row r="178" spans="1:93"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row>
    <row r="179" spans="1:93"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row>
    <row r="180" spans="1:93"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row>
    <row r="181" spans="1:93"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row>
    <row r="182" spans="1:93"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row>
    <row r="183" spans="1:93"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row>
    <row r="184" spans="1:93"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row>
    <row r="185" spans="1:93"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row>
    <row r="186" spans="1:93"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row>
    <row r="187" spans="1:93"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row>
    <row r="188" spans="1:93"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row>
    <row r="189" spans="1:93"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row>
    <row r="190" spans="1:93"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row>
    <row r="191" spans="1:93"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row>
    <row r="192" spans="1:93" x14ac:dyDescent="0.3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9"/>
      <c r="CE192" s="9"/>
      <c r="CF192" s="9"/>
      <c r="CG192" s="9"/>
      <c r="CH192" s="9"/>
      <c r="CI192" s="9"/>
      <c r="CJ192" s="9"/>
      <c r="CK192" s="9"/>
      <c r="CL192" s="9"/>
      <c r="CM192" s="9"/>
      <c r="CN192" s="9"/>
      <c r="CO192" s="9"/>
    </row>
    <row r="193" spans="1:93" x14ac:dyDescent="0.3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9"/>
      <c r="CE193" s="9"/>
      <c r="CF193" s="9"/>
      <c r="CG193" s="9"/>
      <c r="CH193" s="9"/>
      <c r="CI193" s="9"/>
      <c r="CJ193" s="9"/>
      <c r="CK193" s="9"/>
      <c r="CL193" s="9"/>
      <c r="CM193" s="9"/>
      <c r="CN193" s="9"/>
      <c r="CO193" s="9"/>
    </row>
    <row r="194" spans="1:93" x14ac:dyDescent="0.3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c r="CI194" s="9"/>
      <c r="CJ194" s="9"/>
      <c r="CK194" s="9"/>
      <c r="CL194" s="9"/>
      <c r="CM194" s="9"/>
      <c r="CN194" s="9"/>
      <c r="CO194" s="9"/>
    </row>
    <row r="195" spans="1:93" x14ac:dyDescent="0.3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c r="CI195" s="9"/>
      <c r="CJ195" s="9"/>
      <c r="CK195" s="9"/>
      <c r="CL195" s="9"/>
      <c r="CM195" s="9"/>
      <c r="CN195" s="9"/>
      <c r="CO195" s="9"/>
    </row>
    <row r="196" spans="1:93" x14ac:dyDescent="0.3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9"/>
      <c r="CE196" s="9"/>
      <c r="CF196" s="9"/>
      <c r="CG196" s="9"/>
      <c r="CH196" s="9"/>
      <c r="CI196" s="9"/>
      <c r="CJ196" s="9"/>
      <c r="CK196" s="9"/>
      <c r="CL196" s="9"/>
      <c r="CM196" s="9"/>
      <c r="CN196" s="9"/>
      <c r="CO196" s="9"/>
    </row>
    <row r="197" spans="1:93" x14ac:dyDescent="0.3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9"/>
      <c r="CE197" s="9"/>
      <c r="CF197" s="9"/>
      <c r="CG197" s="9"/>
      <c r="CH197" s="9"/>
      <c r="CI197" s="9"/>
      <c r="CJ197" s="9"/>
      <c r="CK197" s="9"/>
      <c r="CL197" s="9"/>
      <c r="CM197" s="9"/>
      <c r="CN197" s="9"/>
      <c r="CO197" s="9"/>
    </row>
    <row r="198" spans="1:93" x14ac:dyDescent="0.3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9"/>
      <c r="CE198" s="9"/>
      <c r="CF198" s="9"/>
      <c r="CG198" s="9"/>
      <c r="CH198" s="9"/>
      <c r="CI198" s="9"/>
      <c r="CJ198" s="9"/>
      <c r="CK198" s="9"/>
      <c r="CL198" s="9"/>
      <c r="CM198" s="9"/>
      <c r="CN198" s="9"/>
      <c r="CO198" s="9"/>
    </row>
    <row r="199" spans="1:93" x14ac:dyDescent="0.3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9"/>
      <c r="CE199" s="9"/>
      <c r="CF199" s="9"/>
      <c r="CG199" s="9"/>
      <c r="CH199" s="9"/>
      <c r="CI199" s="9"/>
      <c r="CJ199" s="9"/>
      <c r="CK199" s="9"/>
      <c r="CL199" s="9"/>
      <c r="CM199" s="9"/>
      <c r="CN199" s="9"/>
      <c r="CO199" s="9"/>
    </row>
    <row r="200" spans="1:93" x14ac:dyDescent="0.3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9"/>
      <c r="CE200" s="9"/>
      <c r="CF200" s="9"/>
      <c r="CG200" s="9"/>
      <c r="CH200" s="9"/>
      <c r="CI200" s="9"/>
      <c r="CJ200" s="9"/>
      <c r="CK200" s="9"/>
      <c r="CL200" s="9"/>
      <c r="CM200" s="9"/>
      <c r="CN200" s="9"/>
      <c r="CO200" s="9"/>
    </row>
    <row r="201" spans="1:93" x14ac:dyDescent="0.3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9"/>
      <c r="CE201" s="9"/>
      <c r="CF201" s="9"/>
      <c r="CG201" s="9"/>
      <c r="CH201" s="9"/>
      <c r="CI201" s="9"/>
      <c r="CJ201" s="9"/>
      <c r="CK201" s="9"/>
      <c r="CL201" s="9"/>
      <c r="CM201" s="9"/>
      <c r="CN201" s="9"/>
      <c r="CO201" s="9"/>
    </row>
  </sheetData>
  <mergeCells count="401">
    <mergeCell ref="DD31:EK31"/>
    <mergeCell ref="A127:V127"/>
    <mergeCell ref="BD127:CO127"/>
    <mergeCell ref="BD128:CO128"/>
    <mergeCell ref="CH129:CO129"/>
    <mergeCell ref="N115:BA115"/>
    <mergeCell ref="BB115:CO115"/>
    <mergeCell ref="BD119:BH119"/>
    <mergeCell ref="A122:CO122"/>
    <mergeCell ref="A125:V125"/>
    <mergeCell ref="BD125:CO125"/>
    <mergeCell ref="A126:V126"/>
    <mergeCell ref="BD126:CO126"/>
    <mergeCell ref="A116:M116"/>
    <mergeCell ref="N116:BA116"/>
    <mergeCell ref="BB116:CO116"/>
    <mergeCell ref="A117:M117"/>
    <mergeCell ref="N117:BA117"/>
    <mergeCell ref="BB117:CO117"/>
    <mergeCell ref="A114:M114"/>
    <mergeCell ref="N114:AG114"/>
    <mergeCell ref="AH114:BA114"/>
    <mergeCell ref="BB114:BU114"/>
    <mergeCell ref="BV114:CO114"/>
    <mergeCell ref="A115:M115"/>
    <mergeCell ref="A112:M112"/>
    <mergeCell ref="N112:AG112"/>
    <mergeCell ref="AH112:BA112"/>
    <mergeCell ref="BB112:BU112"/>
    <mergeCell ref="BV112:CO112"/>
    <mergeCell ref="A113:M113"/>
    <mergeCell ref="N113:AG113"/>
    <mergeCell ref="AH113:BA113"/>
    <mergeCell ref="BB113:BU113"/>
    <mergeCell ref="BV113:CO113"/>
    <mergeCell ref="A111:M111"/>
    <mergeCell ref="N111:AG111"/>
    <mergeCell ref="AH111:BA111"/>
    <mergeCell ref="BB111:BU111"/>
    <mergeCell ref="BV111:CO111"/>
    <mergeCell ref="CS111:ED111"/>
    <mergeCell ref="A109:M109"/>
    <mergeCell ref="N109:AG109"/>
    <mergeCell ref="AH109:BA109"/>
    <mergeCell ref="BB109:BU109"/>
    <mergeCell ref="BV109:CO109"/>
    <mergeCell ref="A110:M110"/>
    <mergeCell ref="N110:AG110"/>
    <mergeCell ref="AH110:BA110"/>
    <mergeCell ref="BB110:BU110"/>
    <mergeCell ref="BV110:CO110"/>
    <mergeCell ref="A107:M107"/>
    <mergeCell ref="N107:AG107"/>
    <mergeCell ref="AH107:BA107"/>
    <mergeCell ref="BB107:BU107"/>
    <mergeCell ref="BV107:CO107"/>
    <mergeCell ref="A108:M108"/>
    <mergeCell ref="N108:AG108"/>
    <mergeCell ref="AH108:BA108"/>
    <mergeCell ref="BB108:BU108"/>
    <mergeCell ref="BV108:CO108"/>
    <mergeCell ref="A105:M105"/>
    <mergeCell ref="N105:AG105"/>
    <mergeCell ref="AH105:BA105"/>
    <mergeCell ref="BB105:BU105"/>
    <mergeCell ref="BV105:CO105"/>
    <mergeCell ref="A106:M106"/>
    <mergeCell ref="N106:AG106"/>
    <mergeCell ref="AH106:BA106"/>
    <mergeCell ref="BB106:BU106"/>
    <mergeCell ref="BV106:CO106"/>
    <mergeCell ref="A103:M103"/>
    <mergeCell ref="N103:AG103"/>
    <mergeCell ref="AH103:BA103"/>
    <mergeCell ref="BB103:BU103"/>
    <mergeCell ref="BV103:CO103"/>
    <mergeCell ref="A104:M104"/>
    <mergeCell ref="N104:AG104"/>
    <mergeCell ref="AH104:BA104"/>
    <mergeCell ref="BB104:BU104"/>
    <mergeCell ref="BV104:CO104"/>
    <mergeCell ref="A101:M101"/>
    <mergeCell ref="N101:AG101"/>
    <mergeCell ref="AH101:BA101"/>
    <mergeCell ref="BB101:BU101"/>
    <mergeCell ref="BV101:CO101"/>
    <mergeCell ref="A102:M102"/>
    <mergeCell ref="N102:AG102"/>
    <mergeCell ref="AH102:BA102"/>
    <mergeCell ref="BB102:BU102"/>
    <mergeCell ref="BV102:CO102"/>
    <mergeCell ref="A99:M99"/>
    <mergeCell ref="N99:AG99"/>
    <mergeCell ref="AH99:BA99"/>
    <mergeCell ref="BB99:BU99"/>
    <mergeCell ref="BV99:CO99"/>
    <mergeCell ref="A100:M100"/>
    <mergeCell ref="N100:AG100"/>
    <mergeCell ref="AH100:BA100"/>
    <mergeCell ref="BB100:BU100"/>
    <mergeCell ref="BV100:CO100"/>
    <mergeCell ref="A97:M97"/>
    <mergeCell ref="N97:AG97"/>
    <mergeCell ref="AH97:BA97"/>
    <mergeCell ref="BB97:BU97"/>
    <mergeCell ref="BV97:CO97"/>
    <mergeCell ref="A98:M98"/>
    <mergeCell ref="N98:AG98"/>
    <mergeCell ref="AH98:BA98"/>
    <mergeCell ref="BB98:BU98"/>
    <mergeCell ref="BV98:CO98"/>
    <mergeCell ref="A95:M95"/>
    <mergeCell ref="N95:AG95"/>
    <mergeCell ref="AH95:BA95"/>
    <mergeCell ref="BB95:BU95"/>
    <mergeCell ref="BV95:CO95"/>
    <mergeCell ref="A96:M96"/>
    <mergeCell ref="N96:AG96"/>
    <mergeCell ref="AH96:BA96"/>
    <mergeCell ref="BB96:BU96"/>
    <mergeCell ref="BV96:CO96"/>
    <mergeCell ref="A93:M93"/>
    <mergeCell ref="N93:AG93"/>
    <mergeCell ref="AH93:BA93"/>
    <mergeCell ref="BB93:BU93"/>
    <mergeCell ref="BV93:CO93"/>
    <mergeCell ref="A94:M94"/>
    <mergeCell ref="N94:AG94"/>
    <mergeCell ref="AH94:BA94"/>
    <mergeCell ref="BB94:BU94"/>
    <mergeCell ref="BV94:CO94"/>
    <mergeCell ref="A91:M91"/>
    <mergeCell ref="N91:AG91"/>
    <mergeCell ref="AH91:BA91"/>
    <mergeCell ref="BB91:BU91"/>
    <mergeCell ref="BV91:CO91"/>
    <mergeCell ref="A92:M92"/>
    <mergeCell ref="N92:AG92"/>
    <mergeCell ref="AH92:BA92"/>
    <mergeCell ref="BB92:BU92"/>
    <mergeCell ref="BV92:CO92"/>
    <mergeCell ref="A89:M89"/>
    <mergeCell ref="N89:AG89"/>
    <mergeCell ref="AH89:BA89"/>
    <mergeCell ref="BB89:BU89"/>
    <mergeCell ref="BV89:CO89"/>
    <mergeCell ref="A90:M90"/>
    <mergeCell ref="N90:AG90"/>
    <mergeCell ref="AH90:BA90"/>
    <mergeCell ref="BB90:BU90"/>
    <mergeCell ref="BV90:CO90"/>
    <mergeCell ref="A87:M87"/>
    <mergeCell ref="N87:BA87"/>
    <mergeCell ref="BB87:CO87"/>
    <mergeCell ref="A88:M88"/>
    <mergeCell ref="N88:BA88"/>
    <mergeCell ref="BB88:CO88"/>
    <mergeCell ref="BX81:CF81"/>
    <mergeCell ref="CG81:CO81"/>
    <mergeCell ref="A83:CO83"/>
    <mergeCell ref="A85:M86"/>
    <mergeCell ref="N85:BA85"/>
    <mergeCell ref="BB85:CO85"/>
    <mergeCell ref="N86:AG86"/>
    <mergeCell ref="AH86:BA86"/>
    <mergeCell ref="BB86:BU86"/>
    <mergeCell ref="BV86:CO86"/>
    <mergeCell ref="A81:N81"/>
    <mergeCell ref="O81:Z81"/>
    <mergeCell ref="AA81:AL81"/>
    <mergeCell ref="AN81:BD81"/>
    <mergeCell ref="BE81:BN81"/>
    <mergeCell ref="BO81:BW81"/>
    <mergeCell ref="BX79:CF79"/>
    <mergeCell ref="CG79:CO79"/>
    <mergeCell ref="A80:N80"/>
    <mergeCell ref="O80:Z80"/>
    <mergeCell ref="AA80:AL80"/>
    <mergeCell ref="AN80:BD80"/>
    <mergeCell ref="BE80:BN80"/>
    <mergeCell ref="BO80:BW80"/>
    <mergeCell ref="BX80:CF80"/>
    <mergeCell ref="CG80:CO80"/>
    <mergeCell ref="A79:N79"/>
    <mergeCell ref="O79:Z79"/>
    <mergeCell ref="AA79:AL79"/>
    <mergeCell ref="AN79:BD79"/>
    <mergeCell ref="BE79:BN79"/>
    <mergeCell ref="BO79:BW79"/>
    <mergeCell ref="BX77:CF77"/>
    <mergeCell ref="CG77:CO77"/>
    <mergeCell ref="A78:N78"/>
    <mergeCell ref="O78:Z78"/>
    <mergeCell ref="AA78:AL78"/>
    <mergeCell ref="AN78:BD78"/>
    <mergeCell ref="BE78:BN78"/>
    <mergeCell ref="BO78:BW78"/>
    <mergeCell ref="BX78:CF78"/>
    <mergeCell ref="CG78:CO78"/>
    <mergeCell ref="A77:N77"/>
    <mergeCell ref="O77:Z77"/>
    <mergeCell ref="AA77:AL77"/>
    <mergeCell ref="AN77:BD77"/>
    <mergeCell ref="BE77:BN77"/>
    <mergeCell ref="BO77:BW77"/>
    <mergeCell ref="BX75:CF75"/>
    <mergeCell ref="CG75:CO75"/>
    <mergeCell ref="A76:N76"/>
    <mergeCell ref="O76:Z76"/>
    <mergeCell ref="AA76:AL76"/>
    <mergeCell ref="AN76:BD76"/>
    <mergeCell ref="BE76:BN76"/>
    <mergeCell ref="BO76:BW76"/>
    <mergeCell ref="BX76:CF76"/>
    <mergeCell ref="CG76:CO76"/>
    <mergeCell ref="A75:N75"/>
    <mergeCell ref="O75:Z75"/>
    <mergeCell ref="AA75:AL75"/>
    <mergeCell ref="AN75:BD75"/>
    <mergeCell ref="BE75:BN75"/>
    <mergeCell ref="BO75:BW75"/>
    <mergeCell ref="BX73:CF73"/>
    <mergeCell ref="CG73:CO73"/>
    <mergeCell ref="A74:N74"/>
    <mergeCell ref="O74:Z74"/>
    <mergeCell ref="AA74:AL74"/>
    <mergeCell ref="AN74:BD74"/>
    <mergeCell ref="BE74:BN74"/>
    <mergeCell ref="BO74:BW74"/>
    <mergeCell ref="BX74:CF74"/>
    <mergeCell ref="CG74:CO74"/>
    <mergeCell ref="A73:N73"/>
    <mergeCell ref="O73:Z73"/>
    <mergeCell ref="AA73:AL73"/>
    <mergeCell ref="AN73:BD73"/>
    <mergeCell ref="BE73:BN73"/>
    <mergeCell ref="BO73:BW73"/>
    <mergeCell ref="BX71:CF71"/>
    <mergeCell ref="CG71:CO71"/>
    <mergeCell ref="A72:N72"/>
    <mergeCell ref="O72:Z72"/>
    <mergeCell ref="AA72:AL72"/>
    <mergeCell ref="AN72:BD72"/>
    <mergeCell ref="BE72:BN72"/>
    <mergeCell ref="BO72:BW72"/>
    <mergeCell ref="BX72:CF72"/>
    <mergeCell ref="CG72:CO72"/>
    <mergeCell ref="A71:N71"/>
    <mergeCell ref="O71:Z71"/>
    <mergeCell ref="AA71:AL71"/>
    <mergeCell ref="AN71:BD71"/>
    <mergeCell ref="BE71:BN71"/>
    <mergeCell ref="BO71:BW71"/>
    <mergeCell ref="O70:Z70"/>
    <mergeCell ref="AA70:AL70"/>
    <mergeCell ref="BE70:BN70"/>
    <mergeCell ref="BO70:BW70"/>
    <mergeCell ref="BX70:CF70"/>
    <mergeCell ref="CG70:CO70"/>
    <mergeCell ref="A64:AQ64"/>
    <mergeCell ref="AR64:CO64"/>
    <mergeCell ref="CH66:CO66"/>
    <mergeCell ref="A69:N69"/>
    <mergeCell ref="O69:Z69"/>
    <mergeCell ref="AA69:AL69"/>
    <mergeCell ref="AN69:BD70"/>
    <mergeCell ref="BE69:BW69"/>
    <mergeCell ref="BX69:CO69"/>
    <mergeCell ref="A70:N70"/>
    <mergeCell ref="D61:O61"/>
    <mergeCell ref="P61:AD61"/>
    <mergeCell ref="AE61:AS61"/>
    <mergeCell ref="AU61:BM61"/>
    <mergeCell ref="BN61:CO61"/>
    <mergeCell ref="A62:O62"/>
    <mergeCell ref="P62:AD62"/>
    <mergeCell ref="AE62:AS62"/>
    <mergeCell ref="AU62:BM62"/>
    <mergeCell ref="BN62:CO62"/>
    <mergeCell ref="A59:C61"/>
    <mergeCell ref="D59:O59"/>
    <mergeCell ref="P59:AD59"/>
    <mergeCell ref="AE59:AS59"/>
    <mergeCell ref="AU59:BM59"/>
    <mergeCell ref="BN59:CO59"/>
    <mergeCell ref="D60:O60"/>
    <mergeCell ref="P60:AD60"/>
    <mergeCell ref="AE60:AS60"/>
    <mergeCell ref="AU60:CO60"/>
    <mergeCell ref="A57:O57"/>
    <mergeCell ref="P57:AD57"/>
    <mergeCell ref="AE57:AS57"/>
    <mergeCell ref="AU57:BM57"/>
    <mergeCell ref="BN57:CO57"/>
    <mergeCell ref="A58:O58"/>
    <mergeCell ref="P58:AD58"/>
    <mergeCell ref="AE58:AS58"/>
    <mergeCell ref="AU58:BM58"/>
    <mergeCell ref="BN58:CO58"/>
    <mergeCell ref="A55:O55"/>
    <mergeCell ref="P55:AD55"/>
    <mergeCell ref="AE55:AS55"/>
    <mergeCell ref="AU55:BM55"/>
    <mergeCell ref="BN55:CO55"/>
    <mergeCell ref="A56:O56"/>
    <mergeCell ref="P56:AD56"/>
    <mergeCell ref="AE56:AS56"/>
    <mergeCell ref="AU56:BM56"/>
    <mergeCell ref="BN56:CO56"/>
    <mergeCell ref="A53:O53"/>
    <mergeCell ref="P53:AD53"/>
    <mergeCell ref="AE53:AS53"/>
    <mergeCell ref="AU53:CO53"/>
    <mergeCell ref="A54:O54"/>
    <mergeCell ref="P54:AD54"/>
    <mergeCell ref="AE54:AS54"/>
    <mergeCell ref="AU54:BM54"/>
    <mergeCell ref="BN54:CO54"/>
    <mergeCell ref="A51:O51"/>
    <mergeCell ref="P51:AD51"/>
    <mergeCell ref="AE51:AS51"/>
    <mergeCell ref="AU51:BM51"/>
    <mergeCell ref="BN51:CO51"/>
    <mergeCell ref="A52:O52"/>
    <mergeCell ref="P52:AD52"/>
    <mergeCell ref="AE52:AS52"/>
    <mergeCell ref="AU52:BM52"/>
    <mergeCell ref="BN52:CO52"/>
    <mergeCell ref="A47:T47"/>
    <mergeCell ref="U47:AS47"/>
    <mergeCell ref="AT47:BO47"/>
    <mergeCell ref="BP47:CO47"/>
    <mergeCell ref="A49:AD49"/>
    <mergeCell ref="AU49:CO49"/>
    <mergeCell ref="A43:AD43"/>
    <mergeCell ref="A45:T45"/>
    <mergeCell ref="U45:AS45"/>
    <mergeCell ref="AT45:BO45"/>
    <mergeCell ref="BP45:CO45"/>
    <mergeCell ref="A46:T46"/>
    <mergeCell ref="U46:AS46"/>
    <mergeCell ref="AT46:BO46"/>
    <mergeCell ref="BP46:CO46"/>
    <mergeCell ref="A40:AS40"/>
    <mergeCell ref="A41:AS41"/>
    <mergeCell ref="AT39:CO39"/>
    <mergeCell ref="AT40:CO40"/>
    <mergeCell ref="AT41:CO41"/>
    <mergeCell ref="A31:AQ31"/>
    <mergeCell ref="AR31:CO31"/>
    <mergeCell ref="A32:AQ32"/>
    <mergeCell ref="AR32:CO32"/>
    <mergeCell ref="A33:S33"/>
    <mergeCell ref="T33:W33"/>
    <mergeCell ref="X33:AA33"/>
    <mergeCell ref="AB33:AE33"/>
    <mergeCell ref="AF33:AI33"/>
    <mergeCell ref="AJ33:AM33"/>
    <mergeCell ref="A37:AS37"/>
    <mergeCell ref="AN33:AQ33"/>
    <mergeCell ref="AR33:CO33"/>
    <mergeCell ref="Q35:W35"/>
    <mergeCell ref="AT35:AY35"/>
    <mergeCell ref="BC35:BD35"/>
    <mergeCell ref="BE35:BI35"/>
    <mergeCell ref="BQ35:CO35"/>
    <mergeCell ref="A39:AS39"/>
    <mergeCell ref="A1:CO1"/>
    <mergeCell ref="A2:CO2"/>
    <mergeCell ref="BG10:BL10"/>
    <mergeCell ref="BM10:BZ10"/>
    <mergeCell ref="BG12:CO14"/>
    <mergeCell ref="M20:AL20"/>
    <mergeCell ref="AM20:CO20"/>
    <mergeCell ref="A4:AJ4"/>
    <mergeCell ref="AK4:AP4"/>
    <mergeCell ref="AQ4:AY4"/>
    <mergeCell ref="A123:CO123"/>
    <mergeCell ref="M21:AL21"/>
    <mergeCell ref="AM21:CO21"/>
    <mergeCell ref="A11:D11"/>
    <mergeCell ref="E13:H13"/>
    <mergeCell ref="AM18:AP18"/>
    <mergeCell ref="BC18:CD18"/>
    <mergeCell ref="DR18:EC18"/>
    <mergeCell ref="H20:L20"/>
    <mergeCell ref="A28:AQ28"/>
    <mergeCell ref="AR28:CO28"/>
    <mergeCell ref="A29:AQ29"/>
    <mergeCell ref="AR29:CO29"/>
    <mergeCell ref="A30:AQ30"/>
    <mergeCell ref="AR30:CO30"/>
    <mergeCell ref="A22:CO22"/>
    <mergeCell ref="AN23:AR23"/>
    <mergeCell ref="BJ23:BV23"/>
    <mergeCell ref="A24:CO24"/>
    <mergeCell ref="A26:Y26"/>
    <mergeCell ref="BP26:BU26"/>
    <mergeCell ref="BV26:CA26"/>
    <mergeCell ref="CD26:CI26"/>
    <mergeCell ref="CJ26:CO26"/>
  </mergeCells>
  <dataValidations count="2">
    <dataValidation type="list" allowBlank="1" showInputMessage="1" showErrorMessage="1" sqref="BV118 AH118 BB118" xr:uid="{00000000-0002-0000-0000-000000000000}">
      <formula1>$A$62:$A$63</formula1>
    </dataValidation>
    <dataValidation type="list" allowBlank="1" showInputMessage="1" showErrorMessage="1" sqref="U47:AS47" xr:uid="{00000000-0002-0000-0000-000001000000}">
      <formula1>$A$68:$A$69</formula1>
    </dataValidation>
  </dataValidations>
  <pageMargins left="0.82677165354330717" right="0.43307086614173229" top="0.27559055118110237" bottom="0.35433070866141736" header="0.23622047244094491" footer="0.47244094488188981"/>
  <pageSetup paperSize="9" scale="94" orientation="portrait" r:id="rId1"/>
  <headerFooter differentFirst="1">
    <oddFooter>&amp;C&amp;10&amp;K04+000BANGALORE ELECTRICITY SUPPLY COMPANY LIMITED</oddFooter>
  </headerFooter>
  <rowBreaks count="2" manualBreakCount="2">
    <brk id="66" max="92" man="1"/>
    <brk id="136" max="92" man="1"/>
  </rowBreaks>
  <colBreaks count="1" manualBreakCount="1">
    <brk id="93" max="1048575" man="1"/>
  </colBreaks>
  <drawing r:id="rId2"/>
  <extLst>
    <ext xmlns:x14="http://schemas.microsoft.com/office/spreadsheetml/2009/9/main" uri="{CCE6A557-97BC-4b89-ADB6-D9C93CAAB3DF}">
      <x14:dataValidations xmlns:xm="http://schemas.microsoft.com/office/excel/2006/main" count="20">
        <x14:dataValidation type="list" allowBlank="1" showInputMessage="1" showErrorMessage="1" xr:uid="{00000000-0002-0000-0000-000002000000}">
          <x14:formula1>
            <xm:f>'PCT-Report_Data list'!$A$14:$A$15</xm:f>
          </x14:formula1>
          <xm:sqref>BD119:BH119 BV26:CA26 CJ26:CO26</xm:sqref>
        </x14:dataValidation>
        <x14:dataValidation type="list" allowBlank="1" showInputMessage="1" showErrorMessage="1" xr:uid="{00000000-0002-0000-0000-000003000000}">
          <x14:formula1>
            <xm:f>'PCT-Report_Data list'!$A$39:$A$40</xm:f>
          </x14:formula1>
          <xm:sqref>P53:AS53</xm:sqref>
        </x14:dataValidation>
        <x14:dataValidation type="list" allowBlank="1" showInputMessage="1" showErrorMessage="1" xr:uid="{00000000-0002-0000-0000-000004000000}">
          <x14:formula1>
            <xm:f>'PCT-Report_Data list'!$A$33:$A$34</xm:f>
          </x14:formula1>
          <xm:sqref>P62:AS62</xm:sqref>
        </x14:dataValidation>
        <x14:dataValidation type="list" allowBlank="1" showInputMessage="1" showErrorMessage="1" xr:uid="{00000000-0002-0000-0000-000005000000}">
          <x14:formula1>
            <xm:f>'PCT-Report_Data list'!$A$21:$A$23</xm:f>
          </x14:formula1>
          <xm:sqref>O71:AL71</xm:sqref>
        </x14:dataValidation>
        <x14:dataValidation type="list" allowBlank="1" showInputMessage="1" showErrorMessage="1" xr:uid="{00000000-0002-0000-0000-000006000000}">
          <x14:formula1>
            <xm:f>'PCT-Report_Data list'!$A$58:$A$59</xm:f>
          </x14:formula1>
          <xm:sqref>O79:AL79</xm:sqref>
        </x14:dataValidation>
        <x14:dataValidation type="list" allowBlank="1" showInputMessage="1" showErrorMessage="1" xr:uid="{00000000-0002-0000-0000-000007000000}">
          <x14:formula1>
            <xm:f>'PCT-Report_Data list'!$A$26:$A$30</xm:f>
          </x14:formula1>
          <xm:sqref>O81:AL81</xm:sqref>
        </x14:dataValidation>
        <x14:dataValidation type="list" allowBlank="1" showInputMessage="1" showErrorMessage="1" xr:uid="{00000000-0002-0000-0000-000008000000}">
          <x14:formula1>
            <xm:f>'PCT-Report_Data list'!$A$52:$A$56</xm:f>
          </x14:formula1>
          <xm:sqref>O80:AL80</xm:sqref>
        </x14:dataValidation>
        <x14:dataValidation type="list" allowBlank="1" showInputMessage="1" showErrorMessage="1" xr:uid="{00000000-0002-0000-0000-000009000000}">
          <x14:formula1>
            <xm:f>'PCT-Report_Data list'!$A$43:$A$44</xm:f>
          </x14:formula1>
          <xm:sqref>BE35:BI35</xm:sqref>
        </x14:dataValidation>
        <x14:dataValidation type="list" allowBlank="1" showInputMessage="1" showErrorMessage="1" xr:uid="{00000000-0002-0000-0000-00000A000000}">
          <x14:formula1>
            <xm:f>'PCT-Report_Data list'!$A$42:$A$44</xm:f>
          </x14:formula1>
          <xm:sqref>AT35</xm:sqref>
        </x14:dataValidation>
        <x14:dataValidation type="list" allowBlank="1" showInputMessage="1" showErrorMessage="1" xr:uid="{00000000-0002-0000-0000-00000B000000}">
          <x14:formula1>
            <xm:f>'PCT-Report_Data list'!$A$17:$A$19</xm:f>
          </x14:formula1>
          <xm:sqref>Q35</xm:sqref>
        </x14:dataValidation>
        <x14:dataValidation type="list" allowBlank="1" showInputMessage="1" showErrorMessage="1" xr:uid="{00000000-0002-0000-0000-00000C000000}">
          <x14:formula1>
            <xm:f>'PCT-Report_Data list'!$A$64:$A$65</xm:f>
          </x14:formula1>
          <xm:sqref>N117:N118 BB117:CO117</xm:sqref>
        </x14:dataValidation>
        <x14:dataValidation type="list" allowBlank="1" showInputMessage="1" showErrorMessage="1" xr:uid="{00000000-0002-0000-0000-00000D000000}">
          <x14:formula1>
            <xm:f>'PCT-Report_Data list'!$A$1:$A$2</xm:f>
          </x14:formula1>
          <xm:sqref>AM18</xm:sqref>
        </x14:dataValidation>
        <x14:dataValidation type="list" allowBlank="1" showInputMessage="1" showErrorMessage="1" xr:uid="{00000000-0002-0000-0000-00000E000000}">
          <x14:formula1>
            <xm:f>'PCT-Report_Data list'!$A$92:$A$103</xm:f>
          </x14:formula1>
          <xm:sqref>AR30:CO30</xm:sqref>
        </x14:dataValidation>
        <x14:dataValidation type="list" allowBlank="1" showInputMessage="1" showErrorMessage="1" xr:uid="{00000000-0002-0000-0000-00000F000000}">
          <x14:formula1>
            <xm:f>'PCT-Report_Data list'!$A$68:$A$69</xm:f>
          </x14:formula1>
          <xm:sqref>AR32:CO32 AE57:AS57</xm:sqref>
        </x14:dataValidation>
        <x14:dataValidation type="list" allowBlank="1" showInputMessage="1" showErrorMessage="1" xr:uid="{00000000-0002-0000-0000-000010000000}">
          <x14:formula1>
            <xm:f>'PCT-Report_Data list'!$A$76:$A$77</xm:f>
          </x14:formula1>
          <xm:sqref>P54:AS54</xm:sqref>
        </x14:dataValidation>
        <x14:dataValidation type="list" allowBlank="1" showInputMessage="1" showErrorMessage="1" xr:uid="{00000000-0002-0000-0000-000011000000}">
          <x14:formula1>
            <xm:f>'PCT-Report_Data list'!$A$79:$A$80</xm:f>
          </x14:formula1>
          <xm:sqref>P55:AS55</xm:sqref>
        </x14:dataValidation>
        <x14:dataValidation type="list" allowBlank="1" showInputMessage="1" showErrorMessage="1" xr:uid="{00000000-0002-0000-0000-000012000000}">
          <x14:formula1>
            <xm:f>'PCT-Report_Data list'!$A$82:$A$83</xm:f>
          </x14:formula1>
          <xm:sqref>P56:AD56</xm:sqref>
        </x14:dataValidation>
        <x14:dataValidation type="list" allowBlank="1" showInputMessage="1" showErrorMessage="1" xr:uid="{00000000-0002-0000-0000-000013000000}">
          <x14:formula1>
            <xm:f>'PCT-Report_Data list'!$A$84:$A$85</xm:f>
          </x14:formula1>
          <xm:sqref>AE56:AS56</xm:sqref>
        </x14:dataValidation>
        <x14:dataValidation type="list" allowBlank="1" showInputMessage="1" showErrorMessage="1" xr:uid="{00000000-0002-0000-0000-000014000000}">
          <x14:formula1>
            <xm:f>'PCT-Report_Data list'!$A$105:$A$109</xm:f>
          </x14:formula1>
          <xm:sqref>O75:AL75</xm:sqref>
        </x14:dataValidation>
        <x14:dataValidation type="list" allowBlank="1" showInputMessage="1" showErrorMessage="1" xr:uid="{00000000-0002-0000-0000-000015000000}">
          <x14:formula1>
            <xm:f>'PCT-Report_Data list'!$A$111:$A$113</xm:f>
          </x14:formula1>
          <xm:sqref>O70:AL70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A125"/>
  <sheetViews>
    <sheetView topLeftCell="A34" workbookViewId="0">
      <selection activeCell="D20" sqref="D20"/>
    </sheetView>
  </sheetViews>
  <sheetFormatPr defaultColWidth="8.81640625" defaultRowHeight="14.5" x14ac:dyDescent="0.35"/>
  <sheetData>
    <row r="1" spans="1:1" x14ac:dyDescent="0.35">
      <c r="A1" s="1" t="s">
        <v>13</v>
      </c>
    </row>
    <row r="2" spans="1:1" x14ac:dyDescent="0.35">
      <c r="A2" s="1" t="s">
        <v>14</v>
      </c>
    </row>
    <row r="3" spans="1:1" x14ac:dyDescent="0.35">
      <c r="A3" s="1"/>
    </row>
    <row r="4" spans="1:1" x14ac:dyDescent="0.35">
      <c r="A4" s="1" t="s">
        <v>15</v>
      </c>
    </row>
    <row r="5" spans="1:1" x14ac:dyDescent="0.35">
      <c r="A5" s="1" t="s">
        <v>343</v>
      </c>
    </row>
    <row r="6" spans="1:1" x14ac:dyDescent="0.35">
      <c r="A6" s="1" t="s">
        <v>16</v>
      </c>
    </row>
    <row r="7" spans="1:1" x14ac:dyDescent="0.35">
      <c r="A7" s="1" t="s">
        <v>17</v>
      </c>
    </row>
    <row r="8" spans="1:1" x14ac:dyDescent="0.35">
      <c r="A8" s="1" t="s">
        <v>18</v>
      </c>
    </row>
    <row r="9" spans="1:1" x14ac:dyDescent="0.35">
      <c r="A9" s="1" t="s">
        <v>19</v>
      </c>
    </row>
    <row r="10" spans="1:1" x14ac:dyDescent="0.35">
      <c r="A10" s="1" t="s">
        <v>20</v>
      </c>
    </row>
    <row r="11" spans="1:1" x14ac:dyDescent="0.35">
      <c r="A11" s="1" t="s">
        <v>21</v>
      </c>
    </row>
    <row r="12" spans="1:1" x14ac:dyDescent="0.35">
      <c r="A12" s="1"/>
    </row>
    <row r="13" spans="1:1" x14ac:dyDescent="0.35">
      <c r="A13" s="1"/>
    </row>
    <row r="14" spans="1:1" x14ac:dyDescent="0.35">
      <c r="A14" s="1" t="s">
        <v>22</v>
      </c>
    </row>
    <row r="15" spans="1:1" x14ac:dyDescent="0.35">
      <c r="A15" s="1" t="s">
        <v>23</v>
      </c>
    </row>
    <row r="16" spans="1:1" x14ac:dyDescent="0.35">
      <c r="A16" s="1"/>
    </row>
    <row r="17" spans="1:1" x14ac:dyDescent="0.35">
      <c r="A17" s="1" t="s">
        <v>24</v>
      </c>
    </row>
    <row r="18" spans="1:1" x14ac:dyDescent="0.35">
      <c r="A18" s="1" t="s">
        <v>25</v>
      </c>
    </row>
    <row r="19" spans="1:1" x14ac:dyDescent="0.35">
      <c r="A19" s="1" t="s">
        <v>26</v>
      </c>
    </row>
    <row r="20" spans="1:1" x14ac:dyDescent="0.35">
      <c r="A20" s="1"/>
    </row>
    <row r="21" spans="1:1" x14ac:dyDescent="0.35">
      <c r="A21" s="1" t="s">
        <v>27</v>
      </c>
    </row>
    <row r="22" spans="1:1" x14ac:dyDescent="0.35">
      <c r="A22" s="1" t="s">
        <v>28</v>
      </c>
    </row>
    <row r="23" spans="1:1" x14ac:dyDescent="0.35">
      <c r="A23" s="1" t="s">
        <v>29</v>
      </c>
    </row>
    <row r="24" spans="1:1" x14ac:dyDescent="0.35">
      <c r="A24" s="1" t="s">
        <v>122</v>
      </c>
    </row>
    <row r="25" spans="1:1" x14ac:dyDescent="0.35">
      <c r="A25" s="1"/>
    </row>
    <row r="26" spans="1:1" x14ac:dyDescent="0.35">
      <c r="A26" s="1" t="s">
        <v>30</v>
      </c>
    </row>
    <row r="27" spans="1:1" x14ac:dyDescent="0.35">
      <c r="A27" s="1" t="s">
        <v>31</v>
      </c>
    </row>
    <row r="28" spans="1:1" x14ac:dyDescent="0.35">
      <c r="A28" s="1" t="s">
        <v>32</v>
      </c>
    </row>
    <row r="29" spans="1:1" x14ac:dyDescent="0.35">
      <c r="A29" s="1" t="s">
        <v>33</v>
      </c>
    </row>
    <row r="30" spans="1:1" x14ac:dyDescent="0.35">
      <c r="A30" s="1" t="s">
        <v>34</v>
      </c>
    </row>
    <row r="31" spans="1:1" x14ac:dyDescent="0.35">
      <c r="A31" s="1"/>
    </row>
    <row r="32" spans="1:1" x14ac:dyDescent="0.35">
      <c r="A32" s="1"/>
    </row>
    <row r="33" spans="1:1" x14ac:dyDescent="0.35">
      <c r="A33" s="1" t="s">
        <v>35</v>
      </c>
    </row>
    <row r="34" spans="1:1" x14ac:dyDescent="0.35">
      <c r="A34" s="1" t="s">
        <v>36</v>
      </c>
    </row>
    <row r="35" spans="1:1" x14ac:dyDescent="0.35">
      <c r="A35" s="1"/>
    </row>
    <row r="36" spans="1:1" x14ac:dyDescent="0.35">
      <c r="A36" s="1" t="s">
        <v>212</v>
      </c>
    </row>
    <row r="37" spans="1:1" x14ac:dyDescent="0.35">
      <c r="A37" s="1" t="s">
        <v>213</v>
      </c>
    </row>
    <row r="38" spans="1:1" x14ac:dyDescent="0.35">
      <c r="A38" s="1"/>
    </row>
    <row r="39" spans="1:1" x14ac:dyDescent="0.35">
      <c r="A39" s="1" t="s">
        <v>294</v>
      </c>
    </row>
    <row r="40" spans="1:1" x14ac:dyDescent="0.35">
      <c r="A40" s="1" t="s">
        <v>295</v>
      </c>
    </row>
    <row r="41" spans="1:1" x14ac:dyDescent="0.35">
      <c r="A41" s="1"/>
    </row>
    <row r="42" spans="1:1" x14ac:dyDescent="0.35">
      <c r="A42" s="1" t="s">
        <v>37</v>
      </c>
    </row>
    <row r="43" spans="1:1" x14ac:dyDescent="0.35">
      <c r="A43" s="1" t="s">
        <v>38</v>
      </c>
    </row>
    <row r="44" spans="1:1" x14ac:dyDescent="0.35">
      <c r="A44" s="1" t="s">
        <v>39</v>
      </c>
    </row>
    <row r="45" spans="1:1" x14ac:dyDescent="0.35">
      <c r="A45" s="1"/>
    </row>
    <row r="46" spans="1:1" x14ac:dyDescent="0.35">
      <c r="A46" s="1" t="s">
        <v>222</v>
      </c>
    </row>
    <row r="47" spans="1:1" x14ac:dyDescent="0.35">
      <c r="A47" s="1" t="s">
        <v>223</v>
      </c>
    </row>
    <row r="48" spans="1:1" x14ac:dyDescent="0.35">
      <c r="A48" s="1"/>
    </row>
    <row r="49" spans="1:1" x14ac:dyDescent="0.35">
      <c r="A49" s="1" t="s">
        <v>224</v>
      </c>
    </row>
    <row r="50" spans="1:1" x14ac:dyDescent="0.35">
      <c r="A50" s="1" t="s">
        <v>225</v>
      </c>
    </row>
    <row r="52" spans="1:1" x14ac:dyDescent="0.35">
      <c r="A52" s="1" t="s">
        <v>117</v>
      </c>
    </row>
    <row r="53" spans="1:1" x14ac:dyDescent="0.35">
      <c r="A53" s="1" t="s">
        <v>118</v>
      </c>
    </row>
    <row r="54" spans="1:1" x14ac:dyDescent="0.35">
      <c r="A54" s="1" t="s">
        <v>121</v>
      </c>
    </row>
    <row r="55" spans="1:1" x14ac:dyDescent="0.35">
      <c r="A55" s="1" t="s">
        <v>119</v>
      </c>
    </row>
    <row r="56" spans="1:1" x14ac:dyDescent="0.35">
      <c r="A56" s="1" t="s">
        <v>120</v>
      </c>
    </row>
    <row r="58" spans="1:1" x14ac:dyDescent="0.35">
      <c r="A58" s="1" t="s">
        <v>129</v>
      </c>
    </row>
    <row r="59" spans="1:1" x14ac:dyDescent="0.35">
      <c r="A59" s="1" t="s">
        <v>130</v>
      </c>
    </row>
    <row r="61" spans="1:1" x14ac:dyDescent="0.35">
      <c r="A61" t="s">
        <v>296</v>
      </c>
    </row>
    <row r="62" spans="1:1" x14ac:dyDescent="0.35">
      <c r="A62" t="s">
        <v>174</v>
      </c>
    </row>
    <row r="64" spans="1:1" x14ac:dyDescent="0.35">
      <c r="A64" t="s">
        <v>210</v>
      </c>
    </row>
    <row r="65" spans="1:1" x14ac:dyDescent="0.35">
      <c r="A65" t="s">
        <v>211</v>
      </c>
    </row>
    <row r="67" spans="1:1" x14ac:dyDescent="0.35">
      <c r="A67" t="s">
        <v>300</v>
      </c>
    </row>
    <row r="68" spans="1:1" x14ac:dyDescent="0.35">
      <c r="A68" t="s">
        <v>298</v>
      </c>
    </row>
    <row r="69" spans="1:1" x14ac:dyDescent="0.35">
      <c r="A69" t="s">
        <v>301</v>
      </c>
    </row>
    <row r="70" spans="1:1" x14ac:dyDescent="0.35">
      <c r="A70" t="s">
        <v>230</v>
      </c>
    </row>
    <row r="72" spans="1:1" x14ac:dyDescent="0.35">
      <c r="A72" t="s">
        <v>304</v>
      </c>
    </row>
    <row r="73" spans="1:1" x14ac:dyDescent="0.35">
      <c r="A73" t="s">
        <v>303</v>
      </c>
    </row>
    <row r="75" spans="1:1" x14ac:dyDescent="0.35">
      <c r="A75" s="50">
        <v>0.5</v>
      </c>
    </row>
    <row r="76" spans="1:1" x14ac:dyDescent="0.35">
      <c r="A76" s="50">
        <v>0.2</v>
      </c>
    </row>
    <row r="77" spans="1:1" x14ac:dyDescent="0.35">
      <c r="A77" t="s">
        <v>303</v>
      </c>
    </row>
    <row r="79" spans="1:1" x14ac:dyDescent="0.35">
      <c r="A79" t="s">
        <v>319</v>
      </c>
    </row>
    <row r="80" spans="1:1" x14ac:dyDescent="0.35">
      <c r="A80" t="s">
        <v>320</v>
      </c>
    </row>
    <row r="82" spans="1:1" x14ac:dyDescent="0.35">
      <c r="A82" t="s">
        <v>322</v>
      </c>
    </row>
    <row r="83" spans="1:1" x14ac:dyDescent="0.35">
      <c r="A83" t="s">
        <v>321</v>
      </c>
    </row>
    <row r="84" spans="1:1" x14ac:dyDescent="0.35">
      <c r="A84" t="s">
        <v>323</v>
      </c>
    </row>
    <row r="85" spans="1:1" x14ac:dyDescent="0.35">
      <c r="A85" t="s">
        <v>324</v>
      </c>
    </row>
    <row r="89" spans="1:1" x14ac:dyDescent="0.35">
      <c r="A89" t="s">
        <v>305</v>
      </c>
    </row>
    <row r="90" spans="1:1" x14ac:dyDescent="0.35">
      <c r="A90" t="s">
        <v>306</v>
      </c>
    </row>
    <row r="92" spans="1:1" x14ac:dyDescent="0.35">
      <c r="A92" t="s">
        <v>308</v>
      </c>
    </row>
    <row r="93" spans="1:1" x14ac:dyDescent="0.35">
      <c r="A93" t="s">
        <v>307</v>
      </c>
    </row>
    <row r="94" spans="1:1" x14ac:dyDescent="0.35">
      <c r="A94" t="s">
        <v>309</v>
      </c>
    </row>
    <row r="95" spans="1:1" x14ac:dyDescent="0.35">
      <c r="A95" t="s">
        <v>311</v>
      </c>
    </row>
    <row r="96" spans="1:1" x14ac:dyDescent="0.35">
      <c r="A96" t="s">
        <v>310</v>
      </c>
    </row>
    <row r="97" spans="1:1" x14ac:dyDescent="0.35">
      <c r="A97" t="s">
        <v>315</v>
      </c>
    </row>
    <row r="98" spans="1:1" x14ac:dyDescent="0.35">
      <c r="A98" t="s">
        <v>316</v>
      </c>
    </row>
    <row r="99" spans="1:1" x14ac:dyDescent="0.35">
      <c r="A99" t="s">
        <v>312</v>
      </c>
    </row>
    <row r="100" spans="1:1" x14ac:dyDescent="0.35">
      <c r="A100" t="s">
        <v>313</v>
      </c>
    </row>
    <row r="101" spans="1:1" x14ac:dyDescent="0.35">
      <c r="A101" t="s">
        <v>314</v>
      </c>
    </row>
    <row r="102" spans="1:1" x14ac:dyDescent="0.35">
      <c r="A102" t="s">
        <v>317</v>
      </c>
    </row>
    <row r="103" spans="1:1" x14ac:dyDescent="0.35">
      <c r="A103" t="s">
        <v>318</v>
      </c>
    </row>
    <row r="105" spans="1:1" x14ac:dyDescent="0.35">
      <c r="A105" s="51">
        <v>1600</v>
      </c>
    </row>
    <row r="106" spans="1:1" x14ac:dyDescent="0.35">
      <c r="A106" s="51">
        <v>10000</v>
      </c>
    </row>
    <row r="107" spans="1:1" x14ac:dyDescent="0.35">
      <c r="A107" s="51">
        <v>16000</v>
      </c>
    </row>
    <row r="108" spans="1:1" x14ac:dyDescent="0.35">
      <c r="A108" s="51">
        <v>50000</v>
      </c>
    </row>
    <row r="109" spans="1:1" x14ac:dyDescent="0.35">
      <c r="A109" s="50" t="s">
        <v>327</v>
      </c>
    </row>
    <row r="111" spans="1:1" x14ac:dyDescent="0.35">
      <c r="A111" t="s">
        <v>328</v>
      </c>
    </row>
    <row r="112" spans="1:1" x14ac:dyDescent="0.35">
      <c r="A112" t="s">
        <v>329</v>
      </c>
    </row>
    <row r="113" spans="1:1" x14ac:dyDescent="0.35">
      <c r="A113" t="s">
        <v>207</v>
      </c>
    </row>
    <row r="114" spans="1:1" x14ac:dyDescent="0.35">
      <c r="A114" s="1"/>
    </row>
    <row r="115" spans="1:1" x14ac:dyDescent="0.35">
      <c r="A115" s="1"/>
    </row>
    <row r="116" spans="1:1" x14ac:dyDescent="0.35">
      <c r="A116" s="1" t="s">
        <v>339</v>
      </c>
    </row>
    <row r="117" spans="1:1" x14ac:dyDescent="0.35">
      <c r="A117" s="1" t="s">
        <v>340</v>
      </c>
    </row>
    <row r="118" spans="1:1" x14ac:dyDescent="0.35">
      <c r="A118" s="1" t="s">
        <v>341</v>
      </c>
    </row>
    <row r="119" spans="1:1" x14ac:dyDescent="0.35">
      <c r="A119" s="1" t="s">
        <v>342</v>
      </c>
    </row>
    <row r="120" spans="1:1" x14ac:dyDescent="0.35">
      <c r="A120" s="1"/>
    </row>
    <row r="121" spans="1:1" x14ac:dyDescent="0.35">
      <c r="A121" s="1"/>
    </row>
    <row r="122" spans="1:1" x14ac:dyDescent="0.35">
      <c r="A122" s="1"/>
    </row>
    <row r="123" spans="1:1" x14ac:dyDescent="0.35">
      <c r="A123" s="1"/>
    </row>
    <row r="124" spans="1:1" x14ac:dyDescent="0.35">
      <c r="A124" s="1"/>
    </row>
    <row r="125" spans="1:1" x14ac:dyDescent="0.35">
      <c r="A125"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EN341"/>
  <sheetViews>
    <sheetView view="pageBreakPreview" zoomScaleNormal="145" zoomScaleSheetLayoutView="100" zoomScalePageLayoutView="145" workbookViewId="0">
      <selection activeCell="AI15" sqref="AI15"/>
    </sheetView>
  </sheetViews>
  <sheetFormatPr defaultColWidth="8.81640625" defaultRowHeight="14" x14ac:dyDescent="0.35"/>
  <cols>
    <col min="1" max="130" width="1" style="2" customWidth="1"/>
    <col min="131" max="139" width="1.7265625" style="2" customWidth="1"/>
    <col min="140" max="140" width="1.7265625" style="3" customWidth="1"/>
    <col min="141" max="181" width="1.7265625" style="2" customWidth="1"/>
    <col min="182" max="16384" width="8.81640625" style="2"/>
  </cols>
  <sheetData>
    <row r="1" spans="1:144" ht="15.75" customHeight="1" x14ac:dyDescent="0.35">
      <c r="A1" s="79" t="s">
        <v>0</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79"/>
      <c r="AN1" s="79"/>
      <c r="AO1" s="79"/>
      <c r="AP1" s="79"/>
      <c r="AQ1" s="79"/>
      <c r="AR1" s="79"/>
      <c r="AS1" s="79"/>
      <c r="AT1" s="79"/>
      <c r="AU1" s="79"/>
      <c r="AV1" s="79"/>
      <c r="AW1" s="79"/>
      <c r="AX1" s="79"/>
      <c r="AY1" s="79"/>
      <c r="AZ1" s="79"/>
      <c r="BA1" s="79"/>
      <c r="BB1" s="79"/>
      <c r="BC1" s="79"/>
      <c r="BD1" s="79"/>
      <c r="BE1" s="79"/>
      <c r="BF1" s="79"/>
      <c r="BG1" s="79"/>
      <c r="BH1" s="79"/>
      <c r="BI1" s="79"/>
      <c r="BJ1" s="79"/>
      <c r="BK1" s="79"/>
      <c r="BL1" s="79"/>
      <c r="BM1" s="79"/>
      <c r="BN1" s="79"/>
      <c r="BO1" s="79"/>
      <c r="BP1" s="79"/>
      <c r="BQ1" s="79"/>
      <c r="BR1" s="79"/>
      <c r="BS1" s="79"/>
      <c r="BT1" s="79"/>
      <c r="BU1" s="79"/>
      <c r="BV1" s="79"/>
      <c r="BW1" s="79"/>
      <c r="BX1" s="79"/>
      <c r="BY1" s="79"/>
      <c r="BZ1" s="79"/>
      <c r="CA1" s="79"/>
      <c r="CB1" s="79"/>
      <c r="CC1" s="79"/>
      <c r="CD1" s="79"/>
      <c r="CE1" s="79"/>
      <c r="CF1" s="79"/>
      <c r="CG1" s="79"/>
      <c r="CH1" s="79"/>
      <c r="CI1" s="79"/>
      <c r="CJ1" s="79"/>
      <c r="CK1" s="79"/>
      <c r="CL1" s="79"/>
      <c r="CM1" s="79"/>
      <c r="CN1" s="79"/>
      <c r="CO1" s="79"/>
    </row>
    <row r="2" spans="1:144" ht="9.75" customHeight="1" x14ac:dyDescent="0.35">
      <c r="A2" s="80" t="s">
        <v>1</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0"/>
      <c r="AV2" s="80"/>
      <c r="AW2" s="80"/>
      <c r="AX2" s="80"/>
      <c r="AY2" s="80"/>
      <c r="AZ2" s="80"/>
      <c r="BA2" s="80"/>
      <c r="BB2" s="80"/>
      <c r="BC2" s="80"/>
      <c r="BD2" s="80"/>
      <c r="BE2" s="80"/>
      <c r="BF2" s="80"/>
      <c r="BG2" s="80"/>
      <c r="BH2" s="80"/>
      <c r="BI2" s="80"/>
      <c r="BJ2" s="80"/>
      <c r="BK2" s="80"/>
      <c r="BL2" s="80"/>
      <c r="BM2" s="80"/>
      <c r="BN2" s="80"/>
      <c r="BO2" s="80"/>
      <c r="BP2" s="80"/>
      <c r="BQ2" s="80"/>
      <c r="BR2" s="80"/>
      <c r="BS2" s="80"/>
      <c r="BT2" s="80"/>
      <c r="BU2" s="80"/>
      <c r="BV2" s="80"/>
      <c r="BW2" s="80"/>
      <c r="BX2" s="80"/>
      <c r="BY2" s="80"/>
      <c r="BZ2" s="80"/>
      <c r="CA2" s="80"/>
      <c r="CB2" s="80"/>
      <c r="CC2" s="80"/>
      <c r="CD2" s="80"/>
      <c r="CE2" s="80"/>
      <c r="CF2" s="80"/>
      <c r="CG2" s="80"/>
      <c r="CH2" s="80"/>
      <c r="CI2" s="80"/>
      <c r="CJ2" s="80"/>
      <c r="CK2" s="80"/>
      <c r="CL2" s="80"/>
      <c r="CM2" s="80"/>
      <c r="CN2" s="80"/>
      <c r="CO2" s="80"/>
    </row>
    <row r="3" spans="1:144" ht="14.25" customHeight="1" x14ac:dyDescent="0.35">
      <c r="A3" s="78" t="s">
        <v>2</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92" t="s">
        <v>357</v>
      </c>
      <c r="AL3" s="92"/>
      <c r="AM3" s="92"/>
      <c r="AN3" s="92"/>
      <c r="AO3" s="92"/>
      <c r="AP3" s="92"/>
      <c r="AQ3" s="93" t="s">
        <v>356</v>
      </c>
      <c r="AR3" s="93"/>
      <c r="AS3" s="93"/>
      <c r="AT3" s="93"/>
      <c r="AU3" s="93"/>
      <c r="AV3" s="93"/>
      <c r="AW3" s="93"/>
      <c r="AX3" s="93"/>
      <c r="AY3" s="93"/>
      <c r="AZ3" s="18"/>
      <c r="BA3" s="18"/>
    </row>
    <row r="4" spans="1:144" ht="12" customHeight="1" x14ac:dyDescent="0.35">
      <c r="A4" s="7" t="s">
        <v>3</v>
      </c>
      <c r="BG4" s="2" t="s">
        <v>4</v>
      </c>
    </row>
    <row r="5" spans="1:144" ht="12" customHeight="1" x14ac:dyDescent="0.35">
      <c r="BG5" s="2" t="s">
        <v>5</v>
      </c>
    </row>
    <row r="6" spans="1:144" ht="12" customHeight="1" x14ac:dyDescent="0.35">
      <c r="BG6" s="2" t="s">
        <v>6</v>
      </c>
    </row>
    <row r="7" spans="1:144" ht="12" customHeight="1" x14ac:dyDescent="0.35">
      <c r="BG7" s="2" t="s">
        <v>79</v>
      </c>
    </row>
    <row r="8" spans="1:144" ht="6" customHeight="1" thickBot="1" x14ac:dyDescent="0.4">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row>
    <row r="9" spans="1:144" ht="19.5" customHeight="1" x14ac:dyDescent="0.35">
      <c r="A9" s="32"/>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81" t="s">
        <v>7</v>
      </c>
      <c r="BH9" s="81"/>
      <c r="BI9" s="81"/>
      <c r="BJ9" s="81"/>
      <c r="BK9" s="81"/>
      <c r="BL9" s="81"/>
      <c r="BM9" s="82"/>
      <c r="BN9" s="82"/>
      <c r="BO9" s="82"/>
      <c r="BP9" s="82"/>
      <c r="BQ9" s="82"/>
      <c r="BR9" s="82"/>
      <c r="BS9" s="82"/>
      <c r="BT9" s="82"/>
      <c r="BU9" s="82"/>
      <c r="BV9" s="82"/>
      <c r="BW9" s="82"/>
      <c r="BX9" s="82"/>
      <c r="BY9" s="82"/>
      <c r="BZ9" s="82"/>
      <c r="CA9" s="32"/>
      <c r="CB9" s="32"/>
      <c r="CC9" s="32"/>
      <c r="CD9" s="32"/>
      <c r="CE9" s="32"/>
      <c r="CF9" s="32"/>
      <c r="CG9" s="32"/>
      <c r="CH9" s="32"/>
      <c r="CI9" s="32"/>
      <c r="CJ9" s="32"/>
      <c r="CK9" s="32"/>
      <c r="CL9" s="32"/>
      <c r="CM9" s="32"/>
      <c r="CN9" s="32"/>
      <c r="CO9" s="32"/>
    </row>
    <row r="10" spans="1:144" ht="12" customHeight="1" x14ac:dyDescent="0.35">
      <c r="A10" s="66" t="s">
        <v>8</v>
      </c>
      <c r="B10" s="66"/>
      <c r="C10" s="66"/>
      <c r="D10" s="66"/>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row>
    <row r="11" spans="1:144" ht="12" customHeight="1" x14ac:dyDescent="0.35">
      <c r="A11" s="32"/>
      <c r="B11" s="32"/>
      <c r="C11" s="32"/>
      <c r="D11" s="32"/>
      <c r="E11" s="32" t="s">
        <v>9</v>
      </c>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266" t="s">
        <v>336</v>
      </c>
      <c r="AX11" s="267"/>
      <c r="AY11" s="267"/>
      <c r="AZ11" s="267"/>
      <c r="BA11" s="267"/>
      <c r="BB11" s="267"/>
      <c r="BC11" s="267"/>
      <c r="BD11" s="267"/>
      <c r="BE11" s="267"/>
      <c r="BF11" s="267"/>
      <c r="BG11" s="267"/>
      <c r="BH11" s="267"/>
      <c r="BI11" s="267"/>
      <c r="BJ11" s="267"/>
      <c r="BK11" s="267"/>
      <c r="BL11" s="267"/>
      <c r="BM11" s="267"/>
      <c r="BN11" s="267"/>
      <c r="BO11" s="267"/>
      <c r="BP11" s="267"/>
      <c r="BQ11" s="267"/>
      <c r="BR11" s="267"/>
      <c r="BS11" s="267"/>
      <c r="BT11" s="267"/>
      <c r="BU11" s="267"/>
      <c r="BV11" s="267"/>
      <c r="BW11" s="267"/>
      <c r="BX11" s="267"/>
      <c r="BY11" s="267"/>
      <c r="BZ11" s="267"/>
      <c r="CA11" s="267"/>
      <c r="CB11" s="267"/>
      <c r="CC11" s="267"/>
      <c r="CD11" s="267"/>
      <c r="CE11" s="267"/>
      <c r="CF11" s="267"/>
      <c r="CG11" s="267"/>
      <c r="CH11" s="267"/>
      <c r="CI11" s="267"/>
      <c r="CJ11" s="267"/>
      <c r="CK11" s="267"/>
      <c r="CL11" s="267"/>
      <c r="CM11" s="267"/>
      <c r="CN11" s="267"/>
      <c r="CO11" s="268"/>
      <c r="EJ11" s="3">
        <v>2</v>
      </c>
      <c r="EN11" s="3">
        <f>EJ13</f>
        <v>3</v>
      </c>
    </row>
    <row r="12" spans="1:144" ht="12" customHeight="1" x14ac:dyDescent="0.35">
      <c r="A12" s="32"/>
      <c r="B12" s="32"/>
      <c r="C12" s="32"/>
      <c r="D12" s="32"/>
      <c r="E12" s="66" t="s">
        <v>341</v>
      </c>
      <c r="F12" s="66"/>
      <c r="G12" s="66"/>
      <c r="H12" s="66"/>
      <c r="I12" s="32" t="s">
        <v>10</v>
      </c>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269"/>
      <c r="AX12" s="270"/>
      <c r="AY12" s="270"/>
      <c r="AZ12" s="270"/>
      <c r="BA12" s="270"/>
      <c r="BB12" s="270"/>
      <c r="BC12" s="270"/>
      <c r="BD12" s="270"/>
      <c r="BE12" s="270"/>
      <c r="BF12" s="270"/>
      <c r="BG12" s="270"/>
      <c r="BH12" s="270"/>
      <c r="BI12" s="270"/>
      <c r="BJ12" s="270"/>
      <c r="BK12" s="270"/>
      <c r="BL12" s="270"/>
      <c r="BM12" s="270"/>
      <c r="BN12" s="270"/>
      <c r="BO12" s="270"/>
      <c r="BP12" s="270"/>
      <c r="BQ12" s="270"/>
      <c r="BR12" s="270"/>
      <c r="BS12" s="270"/>
      <c r="BT12" s="270"/>
      <c r="BU12" s="270"/>
      <c r="BV12" s="270"/>
      <c r="BW12" s="270"/>
      <c r="BX12" s="270"/>
      <c r="BY12" s="270"/>
      <c r="BZ12" s="270"/>
      <c r="CA12" s="270"/>
      <c r="CB12" s="270"/>
      <c r="CC12" s="270"/>
      <c r="CD12" s="270"/>
      <c r="CE12" s="270"/>
      <c r="CF12" s="270"/>
      <c r="CG12" s="270"/>
      <c r="CH12" s="270"/>
      <c r="CI12" s="270"/>
      <c r="CJ12" s="270"/>
      <c r="CK12" s="270"/>
      <c r="CL12" s="270"/>
      <c r="CM12" s="270"/>
      <c r="CN12" s="270"/>
      <c r="CO12" s="271"/>
      <c r="EJ12" s="3">
        <v>1</v>
      </c>
      <c r="EN12" s="3">
        <f>EJ12</f>
        <v>1</v>
      </c>
    </row>
    <row r="13" spans="1:144" ht="13" customHeight="1" x14ac:dyDescent="0.35">
      <c r="A13" s="32"/>
      <c r="B13" s="32"/>
      <c r="C13" s="32"/>
      <c r="D13" s="32"/>
      <c r="E13" s="32" t="s">
        <v>11</v>
      </c>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269"/>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c r="CJ13" s="270"/>
      <c r="CK13" s="270"/>
      <c r="CL13" s="270"/>
      <c r="CM13" s="270"/>
      <c r="CN13" s="270"/>
      <c r="CO13" s="271"/>
      <c r="EJ13" s="3">
        <f>SUM(EJ11:EJ12)</f>
        <v>3</v>
      </c>
      <c r="EN13" s="3">
        <f>EJ11</f>
        <v>2</v>
      </c>
    </row>
    <row r="14" spans="1:144" ht="10" customHeight="1" x14ac:dyDescent="0.35">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272"/>
      <c r="AX14" s="273"/>
      <c r="AY14" s="273"/>
      <c r="AZ14" s="273"/>
      <c r="BA14" s="273"/>
      <c r="BB14" s="273"/>
      <c r="BC14" s="273"/>
      <c r="BD14" s="273"/>
      <c r="BE14" s="273"/>
      <c r="BF14" s="273"/>
      <c r="BG14" s="273"/>
      <c r="BH14" s="273"/>
      <c r="BI14" s="273"/>
      <c r="BJ14" s="273"/>
      <c r="BK14" s="273"/>
      <c r="BL14" s="273"/>
      <c r="BM14" s="273"/>
      <c r="BN14" s="273"/>
      <c r="BO14" s="273"/>
      <c r="BP14" s="273"/>
      <c r="BQ14" s="273"/>
      <c r="BR14" s="273"/>
      <c r="BS14" s="273"/>
      <c r="BT14" s="273"/>
      <c r="BU14" s="273"/>
      <c r="BV14" s="273"/>
      <c r="BW14" s="273"/>
      <c r="BX14" s="273"/>
      <c r="BY14" s="273"/>
      <c r="BZ14" s="273"/>
      <c r="CA14" s="273"/>
      <c r="CB14" s="273"/>
      <c r="CC14" s="273"/>
      <c r="CD14" s="273"/>
      <c r="CE14" s="273"/>
      <c r="CF14" s="273"/>
      <c r="CG14" s="273"/>
      <c r="CH14" s="273"/>
      <c r="CI14" s="273"/>
      <c r="CJ14" s="273"/>
      <c r="CK14" s="273"/>
      <c r="CL14" s="273"/>
      <c r="CM14" s="273"/>
      <c r="CN14" s="273"/>
      <c r="CO14" s="274"/>
    </row>
    <row r="15" spans="1:144" ht="13" customHeight="1" x14ac:dyDescent="0.35">
      <c r="A15" s="33" t="s">
        <v>12</v>
      </c>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row>
    <row r="16" spans="1:144" ht="5.25" customHeight="1" x14ac:dyDescent="0.35">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row>
    <row r="17" spans="1:140" ht="12" customHeight="1" x14ac:dyDescent="0.35">
      <c r="A17" s="32"/>
      <c r="B17" s="32"/>
      <c r="C17" s="32"/>
      <c r="D17" s="32"/>
      <c r="E17" s="32"/>
      <c r="F17" s="32"/>
      <c r="G17" s="32"/>
      <c r="H17" s="32"/>
      <c r="I17" s="32"/>
      <c r="J17" s="32"/>
      <c r="K17" s="102" t="s">
        <v>227</v>
      </c>
      <c r="L17" s="102"/>
      <c r="M17" s="102"/>
      <c r="N17" s="102"/>
      <c r="O17" s="102"/>
      <c r="P17" s="64" t="s">
        <v>40</v>
      </c>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66" t="s">
        <v>13</v>
      </c>
      <c r="AP17" s="66"/>
      <c r="AQ17" s="66"/>
      <c r="AR17" s="66"/>
      <c r="AS17" s="66"/>
      <c r="AT17" s="64" t="s">
        <v>41</v>
      </c>
      <c r="AU17" s="64"/>
      <c r="AV17" s="64"/>
      <c r="AW17" s="64"/>
      <c r="AX17" s="64"/>
      <c r="AY17" s="64"/>
      <c r="AZ17" s="64"/>
      <c r="BA17" s="64"/>
      <c r="BB17" s="64"/>
      <c r="BC17" s="64"/>
      <c r="BD17" s="64"/>
      <c r="BE17" s="64"/>
      <c r="BF17" s="64"/>
      <c r="BG17" s="64"/>
      <c r="BH17" s="64"/>
      <c r="BI17" s="64"/>
      <c r="BJ17" s="64"/>
      <c r="BK17" s="64"/>
      <c r="BL17" s="64"/>
      <c r="BM17" s="64"/>
      <c r="BN17" s="64"/>
      <c r="BO17" s="64"/>
      <c r="BP17" s="64"/>
      <c r="BQ17" s="67"/>
      <c r="BR17" s="67"/>
      <c r="BS17" s="67"/>
      <c r="BT17" s="67"/>
      <c r="BU17" s="67"/>
      <c r="BV17" s="67"/>
      <c r="BW17" s="67"/>
      <c r="BX17" s="67"/>
      <c r="BY17" s="67"/>
      <c r="BZ17" s="67"/>
      <c r="CA17" s="67"/>
      <c r="CB17" s="67"/>
      <c r="CC17" s="67"/>
      <c r="CD17" s="67"/>
      <c r="CE17" s="67"/>
      <c r="CF17" s="67"/>
      <c r="CG17" s="32" t="s">
        <v>42</v>
      </c>
      <c r="CH17" s="32"/>
      <c r="CI17" s="32"/>
      <c r="CJ17" s="32"/>
      <c r="CK17" s="32"/>
      <c r="CL17" s="32"/>
      <c r="CM17" s="32"/>
      <c r="CN17" s="32"/>
      <c r="CO17" s="32"/>
      <c r="DR17" s="68"/>
      <c r="DS17" s="68"/>
      <c r="DT17" s="68"/>
      <c r="DU17" s="68"/>
      <c r="DV17" s="68"/>
      <c r="DW17" s="68"/>
      <c r="DX17" s="68"/>
      <c r="DY17" s="68"/>
      <c r="DZ17" s="68"/>
      <c r="EA17" s="68"/>
      <c r="EB17" s="68"/>
    </row>
    <row r="18" spans="1:140" ht="12" customHeight="1" x14ac:dyDescent="0.35">
      <c r="A18" s="32"/>
      <c r="B18" s="32"/>
      <c r="C18" s="32"/>
      <c r="D18" s="32"/>
      <c r="E18" s="32"/>
      <c r="F18" s="32"/>
      <c r="G18" s="32"/>
      <c r="H18" s="32"/>
      <c r="I18" s="32"/>
      <c r="J18" s="32"/>
      <c r="K18" s="32"/>
      <c r="L18" s="32"/>
      <c r="M18" s="32"/>
      <c r="N18" s="32"/>
      <c r="O18" s="32"/>
      <c r="P18" s="247"/>
      <c r="Q18" s="247"/>
      <c r="R18" s="247"/>
      <c r="S18" s="247"/>
      <c r="T18" s="247"/>
      <c r="U18" s="247"/>
      <c r="V18" s="247"/>
      <c r="W18" s="247"/>
      <c r="X18" s="247"/>
      <c r="Y18" s="247"/>
      <c r="Z18" s="247"/>
      <c r="AA18" s="247"/>
      <c r="AB18" s="247"/>
      <c r="AC18" s="247"/>
      <c r="AD18" s="247"/>
      <c r="AE18" s="247"/>
      <c r="AF18" s="247"/>
      <c r="AG18" s="247"/>
      <c r="AH18" s="247"/>
      <c r="AI18" s="247"/>
      <c r="AJ18" s="247"/>
      <c r="AK18" s="247"/>
      <c r="AL18" s="247"/>
      <c r="AM18" s="247"/>
      <c r="AN18" s="247"/>
      <c r="AO18" s="247"/>
      <c r="AP18" s="247"/>
      <c r="AQ18" s="247"/>
      <c r="AR18" s="247"/>
      <c r="AS18" s="247"/>
      <c r="AT18" s="32" t="s">
        <v>43</v>
      </c>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row>
    <row r="19" spans="1:140" ht="8.15" customHeight="1" x14ac:dyDescent="0.35">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row>
    <row r="20" spans="1:140" ht="13" customHeight="1" x14ac:dyDescent="0.35">
      <c r="A20" s="32"/>
      <c r="B20" s="32"/>
      <c r="C20" s="32"/>
      <c r="D20" s="32"/>
      <c r="E20" s="32"/>
      <c r="F20" s="32"/>
      <c r="G20" s="32"/>
      <c r="H20" s="32"/>
      <c r="I20" s="32"/>
      <c r="J20" s="32"/>
      <c r="K20" s="102" t="s">
        <v>228</v>
      </c>
      <c r="L20" s="102"/>
      <c r="M20" s="102"/>
      <c r="N20" s="102"/>
      <c r="O20" s="102"/>
      <c r="P20" s="245"/>
      <c r="Q20" s="245"/>
      <c r="R20" s="245"/>
      <c r="S20" s="245"/>
      <c r="T20" s="245"/>
      <c r="U20" s="245"/>
      <c r="V20" s="245"/>
      <c r="W20" s="245"/>
      <c r="X20" s="245"/>
      <c r="Y20" s="245"/>
      <c r="Z20" s="245"/>
      <c r="AA20" s="245"/>
      <c r="AB20" s="245"/>
      <c r="AC20" s="245"/>
      <c r="AD20" s="245"/>
      <c r="AE20" s="245"/>
      <c r="AF20" s="245"/>
      <c r="AG20" s="245"/>
      <c r="AH20" s="245"/>
      <c r="AI20" s="245"/>
      <c r="AJ20" s="245"/>
      <c r="AK20" s="245"/>
      <c r="AL20" s="245"/>
      <c r="AM20" s="245"/>
      <c r="AN20" s="245"/>
      <c r="AO20" s="245"/>
      <c r="AP20" s="245"/>
      <c r="AQ20" s="245"/>
      <c r="AR20" s="245"/>
      <c r="AS20" s="245"/>
      <c r="AT20" s="245"/>
      <c r="AU20" s="245"/>
      <c r="AV20" s="245"/>
      <c r="AW20" s="245"/>
      <c r="AX20" s="245"/>
      <c r="AY20" s="245"/>
      <c r="AZ20" s="245"/>
      <c r="BA20" s="245"/>
      <c r="BB20" s="245"/>
      <c r="BC20" s="245"/>
      <c r="BD20" s="245"/>
      <c r="BE20" s="245"/>
      <c r="BF20" s="245"/>
      <c r="BG20" s="245"/>
      <c r="BH20" s="245"/>
      <c r="BI20" s="245"/>
      <c r="BJ20" s="245"/>
      <c r="BK20" s="245"/>
      <c r="BL20" s="245"/>
      <c r="BM20" s="245"/>
      <c r="BN20" s="245"/>
      <c r="BO20" s="245"/>
      <c r="BP20" s="245"/>
      <c r="BQ20" s="245"/>
      <c r="BR20" s="245"/>
      <c r="BS20" s="245"/>
      <c r="BT20" s="245"/>
      <c r="BU20" s="245"/>
      <c r="BV20" s="245"/>
      <c r="BW20" s="245"/>
      <c r="BX20" s="245"/>
      <c r="BY20" s="245"/>
      <c r="BZ20" s="245"/>
      <c r="CA20" s="245"/>
      <c r="CB20" s="245"/>
      <c r="CC20" s="245"/>
      <c r="CD20" s="245"/>
      <c r="CE20" s="245"/>
      <c r="CF20" s="245"/>
      <c r="CG20" s="245"/>
      <c r="CH20" s="245"/>
      <c r="CI20" s="245"/>
      <c r="CJ20" s="245"/>
      <c r="CK20" s="245"/>
      <c r="CL20" s="245"/>
      <c r="CM20" s="245"/>
      <c r="CN20" s="245"/>
      <c r="CO20" s="245"/>
    </row>
    <row r="21" spans="1:140" ht="13" customHeight="1" x14ac:dyDescent="0.35">
      <c r="A21" s="68" t="s">
        <v>44</v>
      </c>
      <c r="B21" s="68"/>
      <c r="C21" s="68"/>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8"/>
      <c r="BF21" s="68"/>
      <c r="BG21" s="68"/>
      <c r="BH21" s="68"/>
      <c r="BI21" s="68"/>
      <c r="BJ21" s="68"/>
      <c r="BK21" s="68"/>
      <c r="BL21" s="68"/>
      <c r="BM21" s="68"/>
      <c r="BN21" s="68"/>
      <c r="BO21" s="68"/>
      <c r="BP21" s="68"/>
      <c r="BQ21" s="68"/>
      <c r="BR21" s="68"/>
      <c r="BS21" s="68"/>
      <c r="BT21" s="68"/>
      <c r="BU21" s="68"/>
      <c r="BV21" s="68"/>
      <c r="BW21" s="68"/>
      <c r="BX21" s="68"/>
      <c r="BY21" s="68"/>
      <c r="BZ21" s="68"/>
      <c r="CA21" s="68"/>
      <c r="CB21" s="68"/>
      <c r="CC21" s="68"/>
      <c r="CD21" s="68"/>
      <c r="CE21" s="68"/>
      <c r="CF21" s="68"/>
      <c r="CG21" s="68"/>
      <c r="CH21" s="68"/>
      <c r="CI21" s="68"/>
      <c r="CJ21" s="68"/>
      <c r="CK21" s="68"/>
      <c r="CL21" s="68"/>
      <c r="CM21" s="68"/>
      <c r="CN21" s="68"/>
      <c r="CO21" s="68"/>
    </row>
    <row r="22" spans="1:140" ht="4" customHeight="1" x14ac:dyDescent="0.35"/>
    <row r="23" spans="1:140" ht="14.15" customHeight="1" x14ac:dyDescent="0.35">
      <c r="A23" s="32"/>
      <c r="B23" s="32"/>
      <c r="C23" s="32"/>
      <c r="D23" s="32"/>
      <c r="E23" s="32"/>
      <c r="F23" s="32"/>
      <c r="G23" s="32"/>
      <c r="H23" s="32"/>
      <c r="I23" s="32"/>
      <c r="J23" s="32"/>
      <c r="K23" s="246" t="s">
        <v>45</v>
      </c>
      <c r="L23" s="246"/>
      <c r="M23" s="246"/>
      <c r="N23" s="246"/>
      <c r="O23" s="66" t="s">
        <v>13</v>
      </c>
      <c r="P23" s="66"/>
      <c r="Q23" s="66"/>
      <c r="R23" s="66"/>
      <c r="S23" s="66"/>
      <c r="T23" s="246" t="s">
        <v>46</v>
      </c>
      <c r="U23" s="246"/>
      <c r="V23" s="246"/>
      <c r="W23" s="246"/>
      <c r="X23" s="246"/>
      <c r="Y23" s="246"/>
      <c r="Z23" s="246"/>
      <c r="AA23" s="246"/>
      <c r="AB23" s="246"/>
      <c r="AC23" s="246"/>
      <c r="AD23" s="246"/>
      <c r="AE23" s="246"/>
      <c r="AF23" s="246"/>
      <c r="AG23" s="246"/>
      <c r="AH23" s="246"/>
      <c r="AI23" s="246"/>
      <c r="AJ23" s="246"/>
      <c r="AK23" s="246"/>
      <c r="AL23" s="246"/>
      <c r="AM23" s="246"/>
      <c r="AN23" s="246"/>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c r="BN23" s="246"/>
      <c r="BO23" s="246"/>
      <c r="BP23" s="246"/>
      <c r="BQ23" s="248"/>
      <c r="BR23" s="248"/>
      <c r="BS23" s="248"/>
      <c r="BT23" s="248"/>
      <c r="BU23" s="248"/>
      <c r="BV23" s="248"/>
      <c r="BW23" s="248"/>
      <c r="BX23" s="248"/>
      <c r="BY23" s="248"/>
      <c r="BZ23" s="248"/>
      <c r="CA23" s="248"/>
      <c r="CB23" s="248"/>
      <c r="CC23" s="32"/>
      <c r="CD23" s="32" t="s">
        <v>47</v>
      </c>
      <c r="CE23" s="32"/>
      <c r="CF23" s="32"/>
      <c r="CG23" s="32"/>
      <c r="CH23" s="32"/>
      <c r="CI23" s="32"/>
      <c r="CJ23" s="32"/>
      <c r="CK23" s="32"/>
      <c r="CL23" s="32"/>
      <c r="CM23" s="32"/>
      <c r="CN23" s="32"/>
      <c r="CO23" s="32"/>
    </row>
    <row r="24" spans="1:140" ht="30" customHeight="1" x14ac:dyDescent="0.35">
      <c r="A24" s="265" t="str">
        <f>AW11</f>
        <v>Additional load.</v>
      </c>
      <c r="B24" s="265"/>
      <c r="C24" s="265"/>
      <c r="D24" s="265"/>
      <c r="E24" s="265"/>
      <c r="F24" s="265"/>
      <c r="G24" s="265"/>
      <c r="H24" s="265"/>
      <c r="I24" s="265"/>
      <c r="J24" s="265"/>
      <c r="K24" s="265"/>
      <c r="L24" s="265"/>
      <c r="M24" s="265"/>
      <c r="N24" s="265"/>
      <c r="O24" s="265"/>
      <c r="P24" s="265"/>
      <c r="Q24" s="265"/>
      <c r="R24" s="265"/>
      <c r="S24" s="265"/>
      <c r="T24" s="265"/>
      <c r="U24" s="265"/>
      <c r="V24" s="265"/>
      <c r="W24" s="265"/>
      <c r="X24" s="265"/>
      <c r="Y24" s="265"/>
      <c r="Z24" s="265"/>
      <c r="AA24" s="265"/>
      <c r="AB24" s="265"/>
      <c r="AC24" s="265"/>
      <c r="AD24" s="265"/>
      <c r="AE24" s="265"/>
      <c r="AF24" s="265"/>
      <c r="AG24" s="265"/>
      <c r="AH24" s="265"/>
      <c r="AI24" s="265"/>
      <c r="AJ24" s="265"/>
      <c r="AK24" s="265"/>
      <c r="AL24" s="265"/>
      <c r="AM24" s="265"/>
      <c r="AN24" s="265"/>
      <c r="AO24" s="265"/>
      <c r="AP24" s="265"/>
      <c r="AQ24" s="265"/>
      <c r="AR24" s="265"/>
      <c r="AS24" s="265"/>
      <c r="AT24" s="265"/>
      <c r="AU24" s="265"/>
      <c r="AV24" s="265"/>
      <c r="AW24" s="265"/>
      <c r="AX24" s="265"/>
      <c r="AY24" s="265"/>
      <c r="AZ24" s="265"/>
      <c r="BA24" s="265"/>
      <c r="BB24" s="265"/>
      <c r="BC24" s="265"/>
      <c r="BD24" s="265"/>
      <c r="BE24" s="265"/>
      <c r="BF24" s="265"/>
      <c r="BG24" s="265"/>
      <c r="BH24" s="265"/>
      <c r="BI24" s="265"/>
      <c r="BJ24" s="265"/>
      <c r="BK24" s="265"/>
      <c r="BL24" s="265"/>
      <c r="BM24" s="265"/>
      <c r="BN24" s="265"/>
      <c r="BO24" s="265"/>
      <c r="BP24" s="265"/>
      <c r="BQ24" s="265"/>
      <c r="BR24" s="265"/>
      <c r="BS24" s="265"/>
      <c r="BT24" s="265"/>
      <c r="BU24" s="265"/>
      <c r="BV24" s="265"/>
      <c r="BW24" s="265"/>
      <c r="BX24" s="265"/>
      <c r="BY24" s="265"/>
      <c r="BZ24" s="265"/>
      <c r="CA24" s="265"/>
      <c r="CB24" s="265"/>
      <c r="CC24" s="265"/>
      <c r="CD24" s="265"/>
      <c r="CE24" s="265"/>
      <c r="CF24" s="265"/>
      <c r="CG24" s="265"/>
      <c r="CH24" s="265"/>
      <c r="CI24" s="265"/>
      <c r="CJ24" s="265"/>
      <c r="CK24" s="265"/>
      <c r="CL24" s="265"/>
      <c r="CM24" s="265"/>
      <c r="CN24" s="265"/>
      <c r="CO24" s="265"/>
    </row>
    <row r="25" spans="1:140" ht="36" customHeight="1" x14ac:dyDescent="0.35">
      <c r="A25" s="76" t="s">
        <v>48</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6"/>
      <c r="BD25" s="76"/>
      <c r="BE25" s="76"/>
      <c r="BF25" s="76"/>
      <c r="BG25" s="76"/>
      <c r="BH25" s="76"/>
      <c r="BI25" s="76"/>
      <c r="BJ25" s="76"/>
      <c r="BK25" s="76"/>
      <c r="BL25" s="76"/>
      <c r="BM25" s="76"/>
      <c r="BN25" s="76"/>
      <c r="BO25" s="76"/>
      <c r="BP25" s="76"/>
      <c r="BQ25" s="76"/>
      <c r="BR25" s="76"/>
      <c r="BS25" s="76"/>
      <c r="BT25" s="76"/>
      <c r="BU25" s="76"/>
      <c r="BV25" s="76"/>
      <c r="BW25" s="76"/>
      <c r="BX25" s="76"/>
      <c r="BY25" s="76"/>
      <c r="BZ25" s="76"/>
      <c r="CA25" s="76"/>
      <c r="CB25" s="76"/>
      <c r="CC25" s="76"/>
      <c r="CD25" s="76"/>
      <c r="CE25" s="76"/>
      <c r="CF25" s="76"/>
      <c r="CG25" s="76"/>
      <c r="CH25" s="76"/>
      <c r="CI25" s="76"/>
      <c r="CJ25" s="76"/>
      <c r="CK25" s="76"/>
      <c r="CL25" s="76"/>
      <c r="CM25" s="76"/>
      <c r="CN25" s="76"/>
      <c r="CO25" s="76"/>
    </row>
    <row r="26" spans="1:140" ht="8.15" customHeight="1" x14ac:dyDescent="0.35"/>
    <row r="27" spans="1:140" ht="13" customHeight="1" x14ac:dyDescent="0.35">
      <c r="A27" s="77" t="s">
        <v>209</v>
      </c>
      <c r="B27" s="77"/>
      <c r="C27" s="77"/>
      <c r="D27" s="77"/>
      <c r="E27" s="77"/>
      <c r="F27" s="77"/>
      <c r="G27" s="77"/>
      <c r="H27" s="77"/>
      <c r="I27" s="77"/>
      <c r="J27" s="77"/>
      <c r="K27" s="77"/>
      <c r="L27" s="77"/>
      <c r="M27" s="77"/>
      <c r="N27" s="77"/>
      <c r="O27" s="77"/>
      <c r="P27" s="77"/>
      <c r="Q27" s="77"/>
      <c r="R27" s="77"/>
      <c r="S27" s="77"/>
      <c r="T27" s="77"/>
      <c r="U27" s="77"/>
      <c r="V27" s="77"/>
      <c r="W27" s="77"/>
      <c r="X27" s="77"/>
      <c r="BP27" s="74" t="s">
        <v>49</v>
      </c>
      <c r="BQ27" s="74"/>
      <c r="BR27" s="74"/>
      <c r="BS27" s="74"/>
      <c r="BT27" s="74"/>
      <c r="BU27" s="74"/>
      <c r="BV27" s="78" t="s">
        <v>23</v>
      </c>
      <c r="BW27" s="78"/>
      <c r="BX27" s="78"/>
      <c r="BY27" s="78"/>
      <c r="BZ27" s="78"/>
      <c r="CA27" s="78"/>
      <c r="CD27" s="74" t="s">
        <v>50</v>
      </c>
      <c r="CE27" s="74"/>
      <c r="CF27" s="74"/>
      <c r="CG27" s="74"/>
      <c r="CH27" s="74"/>
      <c r="CI27" s="74"/>
      <c r="CJ27" s="78" t="s">
        <v>23</v>
      </c>
      <c r="CK27" s="78"/>
      <c r="CL27" s="78"/>
      <c r="CM27" s="78"/>
      <c r="CN27" s="78"/>
      <c r="CO27" s="78"/>
    </row>
    <row r="28" spans="1:140" ht="4" customHeight="1" x14ac:dyDescent="0.35"/>
    <row r="29" spans="1:140" s="5" customFormat="1" ht="27.75" customHeight="1" x14ac:dyDescent="0.35">
      <c r="A29" s="249" t="s">
        <v>51</v>
      </c>
      <c r="B29" s="249"/>
      <c r="C29" s="249"/>
      <c r="D29" s="249"/>
      <c r="E29" s="249"/>
      <c r="F29" s="249"/>
      <c r="G29" s="249"/>
      <c r="H29" s="249"/>
      <c r="I29" s="249"/>
      <c r="J29" s="249"/>
      <c r="K29" s="249"/>
      <c r="L29" s="249"/>
      <c r="M29" s="249"/>
      <c r="N29" s="249"/>
      <c r="O29" s="249"/>
      <c r="P29" s="249"/>
      <c r="Q29" s="249"/>
      <c r="R29" s="249"/>
      <c r="S29" s="249"/>
      <c r="T29" s="249"/>
      <c r="U29" s="249"/>
      <c r="V29" s="249"/>
      <c r="W29" s="249"/>
      <c r="X29" s="277"/>
      <c r="Y29" s="277"/>
      <c r="Z29" s="277"/>
      <c r="AA29" s="277"/>
      <c r="AB29" s="277"/>
      <c r="AC29" s="277"/>
      <c r="AD29" s="277"/>
      <c r="AE29" s="277"/>
      <c r="AF29" s="277"/>
      <c r="AG29" s="277"/>
      <c r="AH29" s="277"/>
      <c r="AI29" s="277"/>
      <c r="AJ29" s="277"/>
      <c r="AK29" s="277"/>
      <c r="AL29" s="277"/>
      <c r="AM29" s="277"/>
      <c r="AN29" s="277"/>
      <c r="AO29" s="277"/>
      <c r="AP29" s="277"/>
      <c r="AQ29" s="277"/>
      <c r="AR29" s="277"/>
      <c r="AS29" s="277"/>
      <c r="AT29" s="277"/>
      <c r="AU29" s="277"/>
      <c r="AV29" s="277"/>
      <c r="AW29" s="277"/>
      <c r="AX29" s="277"/>
      <c r="AY29" s="277"/>
      <c r="AZ29" s="277"/>
      <c r="BA29" s="277"/>
      <c r="BB29" s="277"/>
      <c r="BC29" s="277"/>
      <c r="BD29" s="277"/>
      <c r="BE29" s="277"/>
      <c r="BF29" s="277"/>
      <c r="BG29" s="277"/>
      <c r="BH29" s="277"/>
      <c r="BI29" s="277"/>
      <c r="BJ29" s="277"/>
      <c r="BK29" s="277"/>
      <c r="BL29" s="277"/>
      <c r="BM29" s="277"/>
      <c r="BN29" s="277"/>
      <c r="BO29" s="277"/>
      <c r="BP29" s="277"/>
      <c r="BQ29" s="277"/>
      <c r="BR29" s="277"/>
      <c r="BS29" s="277"/>
      <c r="BT29" s="277"/>
      <c r="BU29" s="277"/>
      <c r="BV29" s="277"/>
      <c r="BW29" s="277"/>
      <c r="BX29" s="277"/>
      <c r="BY29" s="277"/>
      <c r="BZ29" s="277"/>
      <c r="CA29" s="277"/>
      <c r="CB29" s="277"/>
      <c r="CC29" s="277"/>
      <c r="CD29" s="277"/>
      <c r="CE29" s="277"/>
      <c r="CF29" s="277"/>
      <c r="CG29" s="277"/>
      <c r="CH29" s="277"/>
      <c r="CI29" s="277"/>
      <c r="CJ29" s="277"/>
      <c r="CK29" s="277"/>
      <c r="CL29" s="277"/>
      <c r="CM29" s="277"/>
      <c r="CN29" s="277"/>
      <c r="CO29" s="277"/>
      <c r="EJ29" s="6"/>
    </row>
    <row r="30" spans="1:140" ht="16" customHeight="1" x14ac:dyDescent="0.35">
      <c r="A30" s="242" t="s">
        <v>55</v>
      </c>
      <c r="B30" s="242"/>
      <c r="C30" s="242"/>
      <c r="D30" s="242"/>
      <c r="E30" s="242"/>
      <c r="F30" s="242"/>
      <c r="G30" s="242"/>
      <c r="H30" s="242"/>
      <c r="I30" s="242"/>
      <c r="J30" s="242"/>
      <c r="K30" s="242"/>
      <c r="L30" s="242"/>
      <c r="M30" s="242"/>
      <c r="N30" s="242"/>
      <c r="O30" s="242"/>
      <c r="P30" s="242"/>
      <c r="Q30" s="242"/>
      <c r="R30" s="242"/>
      <c r="S30" s="242"/>
      <c r="T30" s="242"/>
      <c r="U30" s="242"/>
      <c r="V30" s="242"/>
      <c r="W30" s="242"/>
      <c r="X30" s="250">
        <f>BQ17</f>
        <v>0</v>
      </c>
      <c r="Y30" s="250"/>
      <c r="Z30" s="250"/>
      <c r="AA30" s="250"/>
      <c r="AB30" s="250"/>
      <c r="AC30" s="250"/>
      <c r="AD30" s="250"/>
      <c r="AE30" s="250"/>
      <c r="AF30" s="250"/>
      <c r="AG30" s="250"/>
      <c r="AH30" s="250"/>
      <c r="AI30" s="250"/>
      <c r="AJ30" s="250"/>
      <c r="AK30" s="250"/>
      <c r="AL30" s="250"/>
      <c r="AM30" s="250"/>
      <c r="AN30" s="250"/>
      <c r="AO30" s="250"/>
      <c r="AP30" s="250"/>
      <c r="AQ30" s="250"/>
      <c r="AR30" s="250"/>
      <c r="AS30" s="250"/>
      <c r="AT30" s="250"/>
      <c r="AU30" s="250"/>
      <c r="AV30" s="250"/>
      <c r="AW30" s="250"/>
      <c r="AX30" s="250"/>
      <c r="AY30" s="250"/>
      <c r="AZ30" s="250"/>
      <c r="BA30" s="250"/>
      <c r="BB30" s="250"/>
      <c r="BC30" s="250"/>
      <c r="BD30" s="250"/>
      <c r="BE30" s="250"/>
      <c r="BF30" s="250"/>
      <c r="BG30" s="242" t="s">
        <v>56</v>
      </c>
      <c r="BH30" s="242"/>
      <c r="BI30" s="242"/>
      <c r="BJ30" s="242"/>
      <c r="BK30" s="242"/>
      <c r="BL30" s="242"/>
      <c r="BM30" s="242"/>
      <c r="BN30" s="242"/>
      <c r="BO30" s="242"/>
      <c r="BP30" s="242"/>
      <c r="BQ30" s="242"/>
      <c r="BR30" s="242"/>
      <c r="BS30" s="242"/>
      <c r="BT30" s="242"/>
      <c r="BU30" s="242"/>
      <c r="BV30" s="242"/>
      <c r="BW30" s="242"/>
      <c r="BX30" s="242"/>
      <c r="BY30" s="242"/>
      <c r="BZ30" s="242"/>
      <c r="CA30" s="242"/>
      <c r="CB30" s="242"/>
      <c r="CC30" s="242"/>
      <c r="CD30" s="278"/>
      <c r="CE30" s="278"/>
      <c r="CF30" s="278"/>
      <c r="CG30" s="278"/>
      <c r="CH30" s="278"/>
      <c r="CI30" s="278"/>
      <c r="CJ30" s="278"/>
      <c r="CK30" s="278"/>
      <c r="CL30" s="278"/>
      <c r="CM30" s="278"/>
      <c r="CN30" s="278"/>
      <c r="CO30" s="278"/>
    </row>
    <row r="31" spans="1:140" ht="16" customHeight="1" x14ac:dyDescent="0.35">
      <c r="A31" s="242" t="s">
        <v>53</v>
      </c>
      <c r="B31" s="242"/>
      <c r="C31" s="242"/>
      <c r="D31" s="242"/>
      <c r="E31" s="242"/>
      <c r="F31" s="242"/>
      <c r="G31" s="242"/>
      <c r="H31" s="242"/>
      <c r="I31" s="242"/>
      <c r="J31" s="242"/>
      <c r="K31" s="242"/>
      <c r="L31" s="242"/>
      <c r="M31" s="242"/>
      <c r="N31" s="242"/>
      <c r="O31" s="242"/>
      <c r="P31" s="242"/>
      <c r="Q31" s="242"/>
      <c r="R31" s="242"/>
      <c r="S31" s="242"/>
      <c r="T31" s="242"/>
      <c r="U31" s="242"/>
      <c r="V31" s="242"/>
      <c r="W31" s="242"/>
      <c r="X31" s="250"/>
      <c r="Y31" s="250"/>
      <c r="Z31" s="250"/>
      <c r="AA31" s="250"/>
      <c r="AB31" s="250"/>
      <c r="AC31" s="250"/>
      <c r="AD31" s="250"/>
      <c r="AE31" s="250"/>
      <c r="AF31" s="250"/>
      <c r="AG31" s="250"/>
      <c r="AH31" s="250"/>
      <c r="AI31" s="250"/>
      <c r="AJ31" s="250"/>
      <c r="AK31" s="250"/>
      <c r="AL31" s="250"/>
      <c r="AM31" s="250"/>
      <c r="AN31" s="250"/>
      <c r="AO31" s="250"/>
      <c r="AP31" s="250"/>
      <c r="AQ31" s="250"/>
      <c r="AR31" s="250"/>
      <c r="AS31" s="250"/>
      <c r="AT31" s="250"/>
      <c r="AU31" s="250"/>
      <c r="AV31" s="250"/>
      <c r="AW31" s="250"/>
      <c r="AX31" s="250"/>
      <c r="AY31" s="250"/>
      <c r="AZ31" s="250"/>
      <c r="BA31" s="250"/>
      <c r="BB31" s="250"/>
      <c r="BC31" s="250"/>
      <c r="BD31" s="250"/>
      <c r="BE31" s="250"/>
      <c r="BF31" s="250"/>
      <c r="BG31" s="242" t="s">
        <v>57</v>
      </c>
      <c r="BH31" s="242"/>
      <c r="BI31" s="242"/>
      <c r="BJ31" s="242"/>
      <c r="BK31" s="242"/>
      <c r="BL31" s="242"/>
      <c r="BM31" s="242"/>
      <c r="BN31" s="242"/>
      <c r="BO31" s="242"/>
      <c r="BP31" s="242"/>
      <c r="BQ31" s="242"/>
      <c r="BR31" s="242"/>
      <c r="BS31" s="242"/>
      <c r="BT31" s="242"/>
      <c r="BU31" s="242"/>
      <c r="BV31" s="242"/>
      <c r="BW31" s="242"/>
      <c r="BX31" s="242"/>
      <c r="BY31" s="242"/>
      <c r="BZ31" s="242"/>
      <c r="CA31" s="242"/>
      <c r="CB31" s="242"/>
      <c r="CC31" s="242"/>
      <c r="CD31" s="250"/>
      <c r="CE31" s="250"/>
      <c r="CF31" s="250"/>
      <c r="CG31" s="250"/>
      <c r="CH31" s="250"/>
      <c r="CI31" s="250"/>
      <c r="CJ31" s="250"/>
      <c r="CK31" s="250"/>
      <c r="CL31" s="250"/>
      <c r="CM31" s="250"/>
      <c r="CN31" s="250"/>
      <c r="CO31" s="250"/>
    </row>
    <row r="32" spans="1:140" ht="16" customHeight="1" x14ac:dyDescent="0.35">
      <c r="A32" s="229"/>
      <c r="B32" s="229"/>
      <c r="C32" s="229"/>
      <c r="D32" s="229"/>
      <c r="E32" s="229"/>
      <c r="F32" s="229"/>
      <c r="G32" s="229"/>
      <c r="H32" s="229"/>
      <c r="I32" s="229"/>
      <c r="J32" s="229"/>
      <c r="K32" s="229"/>
      <c r="L32" s="229"/>
      <c r="M32" s="229"/>
      <c r="N32" s="229"/>
      <c r="O32" s="229"/>
      <c r="P32" s="229"/>
      <c r="Q32" s="229"/>
      <c r="R32" s="229"/>
      <c r="S32" s="229"/>
      <c r="T32" s="229"/>
      <c r="U32" s="229"/>
      <c r="V32" s="229"/>
      <c r="W32" s="229"/>
      <c r="X32" s="229"/>
      <c r="Y32" s="229"/>
      <c r="Z32" s="229"/>
      <c r="AA32" s="229"/>
      <c r="AB32" s="229"/>
      <c r="AC32" s="229"/>
      <c r="AD32" s="229"/>
      <c r="AE32" s="229"/>
      <c r="AF32" s="229"/>
      <c r="AG32" s="229"/>
      <c r="AH32" s="229"/>
      <c r="AI32" s="229"/>
      <c r="AJ32" s="229"/>
      <c r="AK32" s="229"/>
      <c r="AL32" s="229"/>
      <c r="AM32" s="229"/>
      <c r="AN32" s="229"/>
      <c r="AO32" s="229"/>
      <c r="AP32" s="229"/>
      <c r="AQ32" s="229"/>
      <c r="AR32" s="229"/>
      <c r="AS32" s="229"/>
      <c r="AT32" s="229"/>
      <c r="AU32" s="229"/>
      <c r="AV32" s="229"/>
      <c r="AW32" s="229"/>
      <c r="AX32" s="229"/>
      <c r="AY32" s="229"/>
      <c r="AZ32" s="229"/>
      <c r="BA32" s="229"/>
      <c r="BB32" s="229"/>
      <c r="BC32" s="229"/>
      <c r="BD32" s="229"/>
      <c r="BE32" s="229"/>
      <c r="BF32" s="229"/>
      <c r="BG32" s="229"/>
      <c r="BH32" s="229"/>
      <c r="BI32" s="229"/>
      <c r="BJ32" s="229"/>
      <c r="BK32" s="229"/>
      <c r="BL32" s="229"/>
      <c r="BM32" s="229"/>
      <c r="BN32" s="229"/>
      <c r="BO32" s="229"/>
      <c r="BP32" s="229"/>
      <c r="BQ32" s="229"/>
      <c r="BR32" s="229"/>
      <c r="BS32" s="229"/>
      <c r="BT32" s="229"/>
      <c r="BU32" s="229"/>
      <c r="BV32" s="229"/>
      <c r="BW32" s="229"/>
      <c r="BX32" s="229"/>
      <c r="BY32" s="229"/>
      <c r="BZ32" s="229"/>
      <c r="CA32" s="229"/>
      <c r="CB32" s="229"/>
      <c r="CC32" s="229"/>
      <c r="CD32" s="229"/>
      <c r="CE32" s="229"/>
      <c r="CF32" s="229"/>
      <c r="CG32" s="229"/>
      <c r="CH32" s="229"/>
      <c r="CI32" s="229"/>
      <c r="CJ32" s="229"/>
      <c r="CK32" s="229"/>
      <c r="CL32" s="229"/>
      <c r="CM32" s="229"/>
      <c r="CN32" s="229"/>
      <c r="CO32" s="229"/>
    </row>
    <row r="33" spans="1:93" ht="16" customHeight="1" x14ac:dyDescent="0.35">
      <c r="A33" s="257" t="s">
        <v>54</v>
      </c>
      <c r="B33" s="257"/>
      <c r="C33" s="257"/>
      <c r="D33" s="257"/>
      <c r="E33" s="257"/>
      <c r="F33" s="257"/>
      <c r="G33" s="257"/>
      <c r="H33" s="257"/>
      <c r="I33" s="257"/>
      <c r="J33" s="257"/>
      <c r="K33" s="257"/>
      <c r="L33" s="257"/>
      <c r="M33" s="257"/>
      <c r="N33" s="257"/>
      <c r="O33" s="257"/>
      <c r="P33" s="257"/>
      <c r="Q33" s="257"/>
      <c r="R33" s="257"/>
      <c r="S33" s="257"/>
      <c r="T33" s="257"/>
      <c r="U33" s="257"/>
      <c r="V33" s="257"/>
      <c r="W33" s="257"/>
      <c r="X33" s="229" t="s">
        <v>58</v>
      </c>
      <c r="Y33" s="229"/>
      <c r="Z33" s="229"/>
      <c r="AA33" s="229"/>
      <c r="AB33" s="229"/>
      <c r="AC33" s="229"/>
      <c r="AD33" s="229"/>
      <c r="AE33" s="229"/>
      <c r="AF33" s="229"/>
      <c r="AG33" s="229"/>
      <c r="AH33" s="229"/>
      <c r="AI33" s="229"/>
      <c r="AJ33" s="229"/>
      <c r="AK33" s="229"/>
      <c r="AL33" s="229"/>
      <c r="AM33" s="229"/>
      <c r="AN33" s="229"/>
      <c r="AO33" s="229"/>
      <c r="AP33" s="229"/>
      <c r="AQ33" s="229"/>
      <c r="AR33" s="229"/>
      <c r="AS33" s="229"/>
      <c r="AT33" s="229"/>
      <c r="AU33" s="229"/>
      <c r="AV33" s="229"/>
      <c r="AW33" s="229"/>
      <c r="AX33" s="229"/>
      <c r="AY33" s="229"/>
      <c r="AZ33" s="229"/>
      <c r="BA33" s="229"/>
      <c r="BB33" s="229"/>
      <c r="BC33" s="229"/>
      <c r="BD33" s="229"/>
      <c r="BE33" s="229"/>
      <c r="BF33" s="229"/>
      <c r="BG33" s="229" t="s">
        <v>297</v>
      </c>
      <c r="BH33" s="229"/>
      <c r="BI33" s="229"/>
      <c r="BJ33" s="229"/>
      <c r="BK33" s="229"/>
      <c r="BL33" s="229"/>
      <c r="BM33" s="229"/>
      <c r="BN33" s="229"/>
      <c r="BO33" s="229"/>
      <c r="BP33" s="229"/>
      <c r="BQ33" s="229"/>
      <c r="BR33" s="229"/>
      <c r="BS33" s="229"/>
      <c r="BT33" s="229"/>
      <c r="BU33" s="229"/>
      <c r="BV33" s="229"/>
      <c r="BW33" s="229"/>
      <c r="BX33" s="229"/>
      <c r="BY33" s="229"/>
      <c r="BZ33" s="229"/>
      <c r="CA33" s="229"/>
      <c r="CB33" s="229"/>
      <c r="CC33" s="229"/>
      <c r="CD33" s="229"/>
      <c r="CE33" s="229"/>
      <c r="CF33" s="229"/>
      <c r="CG33" s="229"/>
      <c r="CH33" s="229"/>
      <c r="CI33" s="229"/>
      <c r="CJ33" s="229"/>
      <c r="CK33" s="229"/>
      <c r="CL33" s="229"/>
      <c r="CM33" s="229"/>
      <c r="CN33" s="229"/>
      <c r="CO33" s="229"/>
    </row>
    <row r="34" spans="1:93" ht="16" customHeight="1" x14ac:dyDescent="0.35">
      <c r="A34" s="257"/>
      <c r="B34" s="257"/>
      <c r="C34" s="257"/>
      <c r="D34" s="257"/>
      <c r="E34" s="257"/>
      <c r="F34" s="257"/>
      <c r="G34" s="257"/>
      <c r="H34" s="257"/>
      <c r="I34" s="257"/>
      <c r="J34" s="257"/>
      <c r="K34" s="257"/>
      <c r="L34" s="257"/>
      <c r="M34" s="257"/>
      <c r="N34" s="257"/>
      <c r="O34" s="257"/>
      <c r="P34" s="257"/>
      <c r="Q34" s="257"/>
      <c r="R34" s="257"/>
      <c r="S34" s="257"/>
      <c r="T34" s="257"/>
      <c r="U34" s="257"/>
      <c r="V34" s="257"/>
      <c r="W34" s="257"/>
      <c r="X34" s="243"/>
      <c r="Y34" s="243"/>
      <c r="Z34" s="243"/>
      <c r="AA34" s="243"/>
      <c r="AB34" s="243"/>
      <c r="AC34" s="243"/>
      <c r="AD34" s="243"/>
      <c r="AE34" s="243"/>
      <c r="AF34" s="243"/>
      <c r="AG34" s="243"/>
      <c r="AH34" s="243"/>
      <c r="AI34" s="243"/>
      <c r="AJ34" s="243"/>
      <c r="AK34" s="243"/>
      <c r="AL34" s="243"/>
      <c r="AM34" s="243"/>
      <c r="AN34" s="243"/>
      <c r="AO34" s="243"/>
      <c r="AP34" s="243"/>
      <c r="AQ34" s="243"/>
      <c r="AR34" s="243"/>
      <c r="AS34" s="243"/>
      <c r="AT34" s="243"/>
      <c r="AU34" s="243"/>
      <c r="AV34" s="243"/>
      <c r="AW34" s="243"/>
      <c r="AX34" s="243"/>
      <c r="AY34" s="243"/>
      <c r="AZ34" s="243"/>
      <c r="BA34" s="243"/>
      <c r="BB34" s="243"/>
      <c r="BC34" s="243"/>
      <c r="BD34" s="243"/>
      <c r="BE34" s="243"/>
      <c r="BF34" s="243"/>
      <c r="BG34" s="244" t="s">
        <v>230</v>
      </c>
      <c r="BH34" s="243"/>
      <c r="BI34" s="243"/>
      <c r="BJ34" s="243"/>
      <c r="BK34" s="243"/>
      <c r="BL34" s="243"/>
      <c r="BM34" s="243"/>
      <c r="BN34" s="243"/>
      <c r="BO34" s="243"/>
      <c r="BP34" s="243"/>
      <c r="BQ34" s="243"/>
      <c r="BR34" s="243"/>
      <c r="BS34" s="243"/>
      <c r="BT34" s="243"/>
      <c r="BU34" s="243"/>
      <c r="BV34" s="243"/>
      <c r="BW34" s="243"/>
      <c r="BX34" s="243"/>
      <c r="BY34" s="243"/>
      <c r="BZ34" s="243"/>
      <c r="CA34" s="243"/>
      <c r="CB34" s="243"/>
      <c r="CC34" s="243"/>
      <c r="CD34" s="243"/>
      <c r="CE34" s="243"/>
      <c r="CF34" s="243"/>
      <c r="CG34" s="243"/>
      <c r="CH34" s="243"/>
      <c r="CI34" s="243"/>
      <c r="CJ34" s="243"/>
      <c r="CK34" s="243"/>
      <c r="CL34" s="243"/>
      <c r="CM34" s="243"/>
      <c r="CN34" s="243"/>
      <c r="CO34" s="243"/>
    </row>
    <row r="35" spans="1:93" ht="16" customHeight="1" x14ac:dyDescent="0.35">
      <c r="A35" s="242" t="s">
        <v>80</v>
      </c>
      <c r="B35" s="242"/>
      <c r="C35" s="242"/>
      <c r="D35" s="242"/>
      <c r="E35" s="242"/>
      <c r="F35" s="242"/>
      <c r="G35" s="242"/>
      <c r="H35" s="242"/>
      <c r="I35" s="242"/>
      <c r="J35" s="242"/>
      <c r="K35" s="242"/>
      <c r="L35" s="242"/>
      <c r="M35" s="242"/>
      <c r="N35" s="242"/>
      <c r="O35" s="242"/>
      <c r="P35" s="242"/>
      <c r="Q35" s="242"/>
      <c r="R35" s="242"/>
      <c r="S35" s="242"/>
      <c r="T35" s="242"/>
      <c r="U35" s="242"/>
      <c r="V35" s="242"/>
      <c r="W35" s="242"/>
      <c r="X35" s="251"/>
      <c r="Y35" s="243"/>
      <c r="Z35" s="243"/>
      <c r="AA35" s="243"/>
      <c r="AB35" s="243"/>
      <c r="AC35" s="243"/>
      <c r="AD35" s="243"/>
      <c r="AE35" s="243"/>
      <c r="AF35" s="243"/>
      <c r="AG35" s="243"/>
      <c r="AH35" s="243"/>
      <c r="AI35" s="243"/>
      <c r="AJ35" s="243"/>
      <c r="AK35" s="243"/>
      <c r="AL35" s="243"/>
      <c r="AM35" s="243"/>
      <c r="AN35" s="243"/>
      <c r="AO35" s="243"/>
      <c r="AP35" s="243"/>
      <c r="AQ35" s="243"/>
      <c r="AR35" s="243"/>
      <c r="AS35" s="243"/>
      <c r="AT35" s="243"/>
      <c r="AU35" s="243"/>
      <c r="AV35" s="243"/>
      <c r="AW35" s="243"/>
      <c r="AX35" s="243"/>
      <c r="AY35" s="243"/>
      <c r="AZ35" s="243"/>
      <c r="BA35" s="243"/>
      <c r="BB35" s="243"/>
      <c r="BC35" s="243"/>
      <c r="BD35" s="243"/>
      <c r="BE35" s="243"/>
      <c r="BF35" s="243"/>
      <c r="BG35" s="244" t="s">
        <v>230</v>
      </c>
      <c r="BH35" s="243"/>
      <c r="BI35" s="243"/>
      <c r="BJ35" s="243"/>
      <c r="BK35" s="243"/>
      <c r="BL35" s="243"/>
      <c r="BM35" s="243"/>
      <c r="BN35" s="243"/>
      <c r="BO35" s="243"/>
      <c r="BP35" s="243"/>
      <c r="BQ35" s="243"/>
      <c r="BR35" s="243"/>
      <c r="BS35" s="243"/>
      <c r="BT35" s="243"/>
      <c r="BU35" s="243"/>
      <c r="BV35" s="243"/>
      <c r="BW35" s="243"/>
      <c r="BX35" s="243"/>
      <c r="BY35" s="243"/>
      <c r="BZ35" s="243"/>
      <c r="CA35" s="243"/>
      <c r="CB35" s="243"/>
      <c r="CC35" s="243"/>
      <c r="CD35" s="243"/>
      <c r="CE35" s="243"/>
      <c r="CF35" s="243"/>
      <c r="CG35" s="243"/>
      <c r="CH35" s="243"/>
      <c r="CI35" s="243"/>
      <c r="CJ35" s="243"/>
      <c r="CK35" s="243"/>
      <c r="CL35" s="243"/>
      <c r="CM35" s="243"/>
      <c r="CN35" s="243"/>
      <c r="CO35" s="243"/>
    </row>
    <row r="36" spans="1:93" ht="16" customHeight="1" x14ac:dyDescent="0.35">
      <c r="A36" s="242" t="s">
        <v>60</v>
      </c>
      <c r="B36" s="242"/>
      <c r="C36" s="242"/>
      <c r="D36" s="242"/>
      <c r="E36" s="242"/>
      <c r="F36" s="242"/>
      <c r="G36" s="242"/>
      <c r="H36" s="242"/>
      <c r="I36" s="242"/>
      <c r="J36" s="242"/>
      <c r="K36" s="242"/>
      <c r="L36" s="242"/>
      <c r="M36" s="242"/>
      <c r="N36" s="242"/>
      <c r="O36" s="242"/>
      <c r="P36" s="242"/>
      <c r="Q36" s="242"/>
      <c r="R36" s="242"/>
      <c r="S36" s="242"/>
      <c r="T36" s="242"/>
      <c r="U36" s="242"/>
      <c r="V36" s="242"/>
      <c r="W36" s="242"/>
      <c r="X36" s="243" t="s">
        <v>300</v>
      </c>
      <c r="Y36" s="243"/>
      <c r="Z36" s="243"/>
      <c r="AA36" s="243"/>
      <c r="AB36" s="243"/>
      <c r="AC36" s="243"/>
      <c r="AD36" s="243"/>
      <c r="AE36" s="243"/>
      <c r="AF36" s="243"/>
      <c r="AG36" s="243"/>
      <c r="AH36" s="243"/>
      <c r="AI36" s="243"/>
      <c r="AJ36" s="243"/>
      <c r="AK36" s="243"/>
      <c r="AL36" s="243"/>
      <c r="AM36" s="243"/>
      <c r="AN36" s="243"/>
      <c r="AO36" s="243"/>
      <c r="AP36" s="243"/>
      <c r="AQ36" s="243"/>
      <c r="AR36" s="243"/>
      <c r="AS36" s="243"/>
      <c r="AT36" s="243"/>
      <c r="AU36" s="243"/>
      <c r="AV36" s="243"/>
      <c r="AW36" s="243"/>
      <c r="AX36" s="243"/>
      <c r="AY36" s="243"/>
      <c r="AZ36" s="243"/>
      <c r="BA36" s="243"/>
      <c r="BB36" s="243"/>
      <c r="BC36" s="243"/>
      <c r="BD36" s="243"/>
      <c r="BE36" s="243"/>
      <c r="BF36" s="243"/>
      <c r="BG36" s="244" t="s">
        <v>230</v>
      </c>
      <c r="BH36" s="243"/>
      <c r="BI36" s="243"/>
      <c r="BJ36" s="243"/>
      <c r="BK36" s="243"/>
      <c r="BL36" s="243"/>
      <c r="BM36" s="243"/>
      <c r="BN36" s="243"/>
      <c r="BO36" s="243"/>
      <c r="BP36" s="243"/>
      <c r="BQ36" s="243"/>
      <c r="BR36" s="243"/>
      <c r="BS36" s="243"/>
      <c r="BT36" s="243"/>
      <c r="BU36" s="243"/>
      <c r="BV36" s="243"/>
      <c r="BW36" s="243"/>
      <c r="BX36" s="243"/>
      <c r="BY36" s="243"/>
      <c r="BZ36" s="243"/>
      <c r="CA36" s="243"/>
      <c r="CB36" s="243"/>
      <c r="CC36" s="243"/>
      <c r="CD36" s="243"/>
      <c r="CE36" s="243"/>
      <c r="CF36" s="243"/>
      <c r="CG36" s="243"/>
      <c r="CH36" s="243"/>
      <c r="CI36" s="243"/>
      <c r="CJ36" s="243"/>
      <c r="CK36" s="243"/>
      <c r="CL36" s="243"/>
      <c r="CM36" s="243"/>
      <c r="CN36" s="243"/>
      <c r="CO36" s="243"/>
    </row>
    <row r="37" spans="1:93" ht="16" customHeight="1" x14ac:dyDescent="0.35">
      <c r="A37" s="242" t="s">
        <v>59</v>
      </c>
      <c r="B37" s="242"/>
      <c r="C37" s="242"/>
      <c r="D37" s="242"/>
      <c r="E37" s="242"/>
      <c r="F37" s="242"/>
      <c r="G37" s="242"/>
      <c r="H37" s="242"/>
      <c r="I37" s="242"/>
      <c r="J37" s="242"/>
      <c r="K37" s="242"/>
      <c r="L37" s="242"/>
      <c r="M37" s="242"/>
      <c r="N37" s="242"/>
      <c r="O37" s="242"/>
      <c r="P37" s="242"/>
      <c r="Q37" s="242"/>
      <c r="R37" s="242"/>
      <c r="S37" s="242"/>
      <c r="T37" s="242"/>
      <c r="U37" s="242"/>
      <c r="V37" s="242"/>
      <c r="W37" s="242"/>
      <c r="X37" s="101" t="s">
        <v>207</v>
      </c>
      <c r="Y37" s="101"/>
      <c r="Z37" s="101"/>
      <c r="AA37" s="101"/>
      <c r="AB37" s="101"/>
      <c r="AC37" s="101"/>
      <c r="AD37" s="101" t="s">
        <v>207</v>
      </c>
      <c r="AE37" s="101"/>
      <c r="AF37" s="101"/>
      <c r="AG37" s="101"/>
      <c r="AH37" s="101"/>
      <c r="AI37" s="101"/>
      <c r="AJ37" s="101" t="s">
        <v>207</v>
      </c>
      <c r="AK37" s="101"/>
      <c r="AL37" s="101"/>
      <c r="AM37" s="101"/>
      <c r="AN37" s="101"/>
      <c r="AO37" s="101"/>
      <c r="AP37" s="101" t="s">
        <v>207</v>
      </c>
      <c r="AQ37" s="101"/>
      <c r="AR37" s="101"/>
      <c r="AS37" s="101"/>
      <c r="AT37" s="101"/>
      <c r="AU37" s="101"/>
      <c r="AV37" s="101" t="s">
        <v>207</v>
      </c>
      <c r="AW37" s="101"/>
      <c r="AX37" s="101"/>
      <c r="AY37" s="101"/>
      <c r="AZ37" s="101"/>
      <c r="BA37" s="101"/>
      <c r="BB37" s="101" t="s">
        <v>207</v>
      </c>
      <c r="BC37" s="101"/>
      <c r="BD37" s="101"/>
      <c r="BE37" s="101"/>
      <c r="BF37" s="101"/>
      <c r="BG37" s="101" t="s">
        <v>207</v>
      </c>
      <c r="BH37" s="101"/>
      <c r="BI37" s="101"/>
      <c r="BJ37" s="101"/>
      <c r="BK37" s="101"/>
      <c r="BL37" s="101"/>
      <c r="BM37" s="101" t="s">
        <v>207</v>
      </c>
      <c r="BN37" s="101"/>
      <c r="BO37" s="101"/>
      <c r="BP37" s="101"/>
      <c r="BQ37" s="101"/>
      <c r="BR37" s="101"/>
      <c r="BS37" s="101" t="s">
        <v>207</v>
      </c>
      <c r="BT37" s="101"/>
      <c r="BU37" s="101"/>
      <c r="BV37" s="101"/>
      <c r="BW37" s="101"/>
      <c r="BX37" s="101"/>
      <c r="BY37" s="101" t="s">
        <v>207</v>
      </c>
      <c r="BZ37" s="101"/>
      <c r="CA37" s="101"/>
      <c r="CB37" s="101"/>
      <c r="CC37" s="101"/>
      <c r="CD37" s="101"/>
      <c r="CE37" s="101" t="s">
        <v>207</v>
      </c>
      <c r="CF37" s="101"/>
      <c r="CG37" s="101"/>
      <c r="CH37" s="101"/>
      <c r="CI37" s="101"/>
      <c r="CJ37" s="101"/>
      <c r="CK37" s="101" t="s">
        <v>207</v>
      </c>
      <c r="CL37" s="101"/>
      <c r="CM37" s="101"/>
      <c r="CN37" s="101"/>
      <c r="CO37" s="101"/>
    </row>
    <row r="38" spans="1:93" ht="16" customHeight="1" x14ac:dyDescent="0.35">
      <c r="A38" s="239" t="s">
        <v>71</v>
      </c>
      <c r="B38" s="239"/>
      <c r="C38" s="239"/>
      <c r="D38" s="239"/>
      <c r="E38" s="239"/>
      <c r="F38" s="239"/>
      <c r="G38" s="239"/>
      <c r="H38" s="239"/>
      <c r="I38" s="239"/>
      <c r="J38" s="239"/>
      <c r="K38" s="239"/>
      <c r="L38" s="239"/>
      <c r="M38" s="239"/>
      <c r="N38" s="239"/>
      <c r="O38" s="239"/>
      <c r="P38" s="239"/>
      <c r="Q38" s="239"/>
      <c r="R38" s="239"/>
      <c r="S38" s="239"/>
      <c r="T38" s="239"/>
      <c r="U38" s="239"/>
      <c r="V38" s="239"/>
      <c r="W38" s="239"/>
      <c r="X38" s="239"/>
      <c r="Y38" s="239"/>
      <c r="Z38" s="239"/>
      <c r="AA38" s="239"/>
      <c r="AB38" s="239"/>
      <c r="AC38" s="239"/>
      <c r="AD38" s="239"/>
      <c r="AE38" s="239"/>
      <c r="AF38" s="239"/>
      <c r="AG38" s="239"/>
      <c r="AH38" s="239"/>
      <c r="AI38" s="239"/>
      <c r="AJ38" s="239"/>
      <c r="AK38" s="239"/>
      <c r="AL38" s="239"/>
      <c r="AM38" s="239"/>
      <c r="AN38" s="239"/>
      <c r="AO38" s="239"/>
      <c r="AP38" s="239"/>
      <c r="AQ38" s="239"/>
      <c r="AR38" s="239"/>
      <c r="AS38" s="239"/>
      <c r="AT38" s="239"/>
      <c r="AU38" s="239"/>
      <c r="AV38" s="239"/>
      <c r="AW38" s="239"/>
      <c r="AX38" s="239"/>
      <c r="AY38" s="239"/>
      <c r="AZ38" s="239"/>
      <c r="BA38" s="239"/>
      <c r="BB38" s="239"/>
      <c r="BC38" s="239"/>
      <c r="BD38" s="239"/>
      <c r="BE38" s="239"/>
      <c r="BF38" s="239"/>
      <c r="BG38" s="240" t="str">
        <f>IF(BG35="not applicable", "Not Applicable", BQ23)</f>
        <v>Not Applicable</v>
      </c>
      <c r="BH38" s="241"/>
      <c r="BI38" s="241"/>
      <c r="BJ38" s="241"/>
      <c r="BK38" s="241"/>
      <c r="BL38" s="241"/>
      <c r="BM38" s="241"/>
      <c r="BN38" s="241"/>
      <c r="BO38" s="241"/>
      <c r="BP38" s="241"/>
      <c r="BQ38" s="241"/>
      <c r="BR38" s="241"/>
      <c r="BS38" s="241"/>
      <c r="BT38" s="241"/>
      <c r="BU38" s="241"/>
      <c r="BV38" s="241"/>
      <c r="BW38" s="241"/>
      <c r="BX38" s="241"/>
      <c r="BY38" s="241"/>
      <c r="BZ38" s="241"/>
      <c r="CA38" s="241"/>
      <c r="CB38" s="241"/>
      <c r="CC38" s="241"/>
      <c r="CD38" s="241"/>
      <c r="CE38" s="241"/>
      <c r="CF38" s="241"/>
      <c r="CG38" s="241"/>
      <c r="CH38" s="241"/>
      <c r="CI38" s="241"/>
      <c r="CJ38" s="241"/>
      <c r="CK38" s="241"/>
      <c r="CL38" s="241"/>
      <c r="CM38" s="241"/>
      <c r="CN38" s="241"/>
      <c r="CO38" s="241"/>
    </row>
    <row r="39" spans="1:93" ht="10" customHeight="1" x14ac:dyDescent="0.35"/>
    <row r="40" spans="1:93" ht="12" customHeight="1" x14ac:dyDescent="0.35">
      <c r="A40" s="77" t="s">
        <v>216</v>
      </c>
      <c r="B40" s="77"/>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77"/>
      <c r="AL40" s="77"/>
      <c r="AM40" s="77"/>
      <c r="AN40" s="77"/>
      <c r="AO40" s="77"/>
      <c r="AP40" s="77"/>
      <c r="AQ40" s="77"/>
      <c r="AR40" s="77"/>
      <c r="AS40" s="77"/>
      <c r="AT40" s="77"/>
      <c r="AU40" s="77"/>
      <c r="AV40" s="77"/>
      <c r="AW40" s="77"/>
      <c r="AX40" s="77"/>
      <c r="AY40" s="77"/>
      <c r="AZ40" s="77"/>
      <c r="BA40" s="77"/>
      <c r="BB40" s="77"/>
      <c r="BC40" s="77"/>
      <c r="BD40" s="77"/>
      <c r="BE40" s="77"/>
      <c r="BF40" s="77"/>
      <c r="BG40" s="77"/>
      <c r="BH40" s="77"/>
      <c r="BI40" s="77"/>
      <c r="BJ40" s="77"/>
      <c r="BK40" s="77"/>
      <c r="BL40" s="77"/>
      <c r="BM40" s="77"/>
      <c r="BN40" s="77"/>
      <c r="BO40" s="77"/>
      <c r="BP40" s="77"/>
      <c r="BQ40" s="77"/>
      <c r="BR40" s="77"/>
      <c r="BS40" s="77"/>
      <c r="BT40" s="77"/>
      <c r="BU40" s="77"/>
      <c r="BV40" s="77"/>
      <c r="BW40" s="77"/>
      <c r="BX40" s="77"/>
      <c r="BY40" s="77"/>
      <c r="BZ40" s="77"/>
      <c r="CA40" s="77"/>
      <c r="CB40" s="77"/>
      <c r="CC40" s="77"/>
      <c r="CD40" s="77"/>
      <c r="CE40" s="77"/>
      <c r="CF40" s="77"/>
      <c r="CG40" s="77"/>
      <c r="CH40" s="77"/>
      <c r="CI40" s="77"/>
      <c r="CJ40" s="77"/>
      <c r="CK40" s="77"/>
      <c r="CL40" s="77"/>
      <c r="CM40" s="77"/>
      <c r="CN40" s="77"/>
      <c r="CO40" s="77"/>
    </row>
    <row r="41" spans="1:93" ht="60" customHeight="1" x14ac:dyDescent="0.35">
      <c r="A41" s="238" t="s">
        <v>231</v>
      </c>
      <c r="B41" s="238"/>
      <c r="C41" s="238"/>
      <c r="D41" s="238"/>
      <c r="E41" s="238"/>
      <c r="F41" s="238"/>
      <c r="G41" s="238"/>
      <c r="H41" s="238"/>
      <c r="I41" s="238"/>
      <c r="J41" s="238"/>
      <c r="K41" s="238"/>
      <c r="L41" s="238"/>
      <c r="M41" s="238"/>
      <c r="N41" s="238"/>
      <c r="O41" s="238"/>
      <c r="P41" s="238"/>
      <c r="Q41" s="238"/>
      <c r="R41" s="238"/>
      <c r="S41" s="238"/>
      <c r="T41" s="238"/>
      <c r="U41" s="238"/>
      <c r="V41" s="238"/>
      <c r="W41" s="238"/>
      <c r="X41" s="238"/>
      <c r="Y41" s="238"/>
      <c r="Z41" s="238"/>
      <c r="AA41" s="238"/>
      <c r="AB41" s="238"/>
      <c r="AC41" s="238"/>
      <c r="AD41" s="238"/>
      <c r="AE41" s="238"/>
      <c r="AF41" s="238"/>
      <c r="AG41" s="238"/>
      <c r="AH41" s="238"/>
      <c r="AI41" s="238"/>
      <c r="AJ41" s="238"/>
      <c r="AK41" s="238"/>
      <c r="AL41" s="238"/>
      <c r="AM41" s="238"/>
      <c r="AN41" s="238"/>
      <c r="AO41" s="238"/>
      <c r="AP41" s="238"/>
      <c r="AQ41" s="238"/>
      <c r="AR41" s="238"/>
      <c r="AS41" s="238"/>
      <c r="AT41" s="238"/>
      <c r="AU41" s="238"/>
      <c r="AV41" s="238"/>
      <c r="AW41" s="238"/>
      <c r="AX41" s="238"/>
      <c r="AY41" s="238"/>
      <c r="AZ41" s="238"/>
      <c r="BA41" s="238"/>
      <c r="BB41" s="238"/>
      <c r="BC41" s="238"/>
      <c r="BD41" s="238"/>
      <c r="BE41" s="238"/>
      <c r="BF41" s="238"/>
      <c r="BG41" s="238"/>
      <c r="BH41" s="238"/>
      <c r="BI41" s="238"/>
      <c r="BJ41" s="238"/>
      <c r="BK41" s="238"/>
      <c r="BL41" s="238"/>
      <c r="BM41" s="238"/>
      <c r="BN41" s="238"/>
      <c r="BO41" s="238"/>
      <c r="BP41" s="238"/>
      <c r="BQ41" s="238"/>
      <c r="BR41" s="238"/>
      <c r="BS41" s="238"/>
      <c r="BT41" s="238"/>
      <c r="BU41" s="238"/>
      <c r="BV41" s="238"/>
      <c r="BW41" s="238"/>
      <c r="BX41" s="238"/>
      <c r="BY41" s="238"/>
      <c r="BZ41" s="238"/>
      <c r="CA41" s="238"/>
      <c r="CB41" s="238"/>
      <c r="CC41" s="238"/>
      <c r="CD41" s="238"/>
      <c r="CE41" s="238"/>
      <c r="CF41" s="238"/>
      <c r="CG41" s="238"/>
      <c r="CH41" s="238"/>
      <c r="CI41" s="238"/>
      <c r="CJ41" s="238"/>
      <c r="CK41" s="238"/>
      <c r="CL41" s="238"/>
      <c r="CM41" s="238"/>
      <c r="CN41" s="238"/>
      <c r="CO41" s="238"/>
    </row>
    <row r="42" spans="1:93" ht="9" customHeight="1" x14ac:dyDescent="0.3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row>
    <row r="43" spans="1:93" ht="12" customHeight="1" x14ac:dyDescent="0.35">
      <c r="A43" s="77" t="s">
        <v>215</v>
      </c>
      <c r="B43" s="77"/>
      <c r="C43" s="77"/>
      <c r="D43" s="77"/>
      <c r="E43" s="77"/>
      <c r="F43" s="77"/>
      <c r="G43" s="77"/>
      <c r="H43" s="77"/>
      <c r="I43" s="77"/>
      <c r="J43" s="77"/>
      <c r="K43" s="77"/>
      <c r="L43" s="77"/>
      <c r="M43" s="77"/>
      <c r="N43" s="77"/>
      <c r="O43" s="77"/>
      <c r="P43" s="77"/>
      <c r="Q43" s="77"/>
      <c r="R43" s="77"/>
      <c r="S43" s="77"/>
      <c r="T43" s="77"/>
      <c r="U43" s="77"/>
      <c r="V43" s="77"/>
      <c r="W43" s="77"/>
      <c r="X43" s="77"/>
      <c r="Y43" s="77"/>
      <c r="Z43" s="77"/>
      <c r="AA43" s="77"/>
      <c r="AB43" s="77"/>
      <c r="AC43" s="77"/>
      <c r="AD43" s="77"/>
      <c r="AE43" s="77"/>
      <c r="AF43" s="77"/>
      <c r="AG43" s="77"/>
      <c r="AH43" s="77"/>
      <c r="AI43" s="77"/>
      <c r="AJ43" s="77"/>
      <c r="AK43" s="77"/>
      <c r="AL43" s="77"/>
      <c r="AM43" s="77"/>
      <c r="AN43" s="77"/>
      <c r="AO43" s="77"/>
      <c r="AP43" s="77"/>
      <c r="AQ43" s="77"/>
      <c r="AR43" s="77"/>
      <c r="AS43" s="77"/>
      <c r="AT43" s="77"/>
      <c r="AU43" s="77"/>
      <c r="AV43" s="77"/>
      <c r="AW43" s="77"/>
      <c r="AX43" s="77"/>
      <c r="AY43" s="77"/>
      <c r="AZ43" s="77"/>
      <c r="BA43" s="77"/>
      <c r="BB43" s="77"/>
      <c r="BC43" s="77"/>
      <c r="BD43" s="77"/>
      <c r="BE43" s="77"/>
      <c r="BF43" s="77"/>
      <c r="BG43" s="77"/>
      <c r="BH43" s="77"/>
      <c r="BI43" s="77"/>
      <c r="BJ43" s="77"/>
      <c r="BK43" s="77"/>
      <c r="BL43" s="77"/>
      <c r="BM43" s="77"/>
      <c r="BN43" s="77"/>
      <c r="BO43" s="77"/>
      <c r="BP43" s="77"/>
      <c r="BQ43" s="77"/>
      <c r="BR43" s="77"/>
      <c r="BS43" s="77"/>
      <c r="BT43" s="77"/>
      <c r="BU43" s="77"/>
      <c r="BV43" s="77"/>
      <c r="BW43" s="77"/>
      <c r="BX43" s="77"/>
      <c r="BY43" s="77"/>
      <c r="BZ43" s="77"/>
      <c r="CA43" s="77"/>
      <c r="CB43" s="77"/>
      <c r="CC43" s="77"/>
      <c r="CD43" s="77"/>
      <c r="CE43" s="77"/>
      <c r="CF43" s="77"/>
      <c r="CG43" s="77"/>
      <c r="CH43" s="77"/>
      <c r="CI43" s="77"/>
      <c r="CJ43" s="77"/>
      <c r="CK43" s="77"/>
      <c r="CL43" s="77"/>
      <c r="CM43" s="77"/>
      <c r="CN43" s="77"/>
      <c r="CO43" s="77"/>
    </row>
    <row r="44" spans="1:93" ht="18" customHeight="1" x14ac:dyDescent="0.35">
      <c r="A44" s="238"/>
      <c r="B44" s="238"/>
      <c r="C44" s="238"/>
      <c r="D44" s="238"/>
      <c r="E44" s="238"/>
      <c r="F44" s="238"/>
      <c r="G44" s="238"/>
      <c r="H44" s="238"/>
      <c r="I44" s="238"/>
      <c r="J44" s="238"/>
      <c r="K44" s="238"/>
      <c r="L44" s="238"/>
      <c r="M44" s="238"/>
      <c r="N44" s="238"/>
      <c r="O44" s="238"/>
      <c r="P44" s="238"/>
      <c r="Q44" s="238"/>
      <c r="R44" s="238"/>
      <c r="S44" s="238"/>
      <c r="T44" s="238"/>
      <c r="U44" s="238"/>
      <c r="V44" s="238"/>
      <c r="W44" s="238"/>
      <c r="X44" s="238"/>
      <c r="Y44" s="238"/>
      <c r="Z44" s="238"/>
      <c r="AA44" s="238"/>
      <c r="AB44" s="238"/>
      <c r="AC44" s="238"/>
      <c r="AD44" s="238"/>
      <c r="AE44" s="238"/>
      <c r="AF44" s="238"/>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8"/>
      <c r="BC44" s="238"/>
      <c r="BD44" s="238"/>
      <c r="BE44" s="238"/>
      <c r="BF44" s="238"/>
      <c r="BG44" s="238"/>
      <c r="BH44" s="238"/>
      <c r="BI44" s="238"/>
      <c r="BJ44" s="238"/>
      <c r="BK44" s="238"/>
      <c r="BL44" s="238"/>
      <c r="BM44" s="238"/>
      <c r="BN44" s="238"/>
      <c r="BO44" s="238"/>
      <c r="BP44" s="238"/>
      <c r="BQ44" s="238"/>
      <c r="BR44" s="238"/>
      <c r="BS44" s="238"/>
      <c r="BT44" s="238"/>
      <c r="BU44" s="238"/>
      <c r="BV44" s="238"/>
      <c r="BW44" s="238"/>
      <c r="BX44" s="238"/>
      <c r="BY44" s="238"/>
      <c r="BZ44" s="238"/>
      <c r="CA44" s="238"/>
      <c r="CB44" s="238"/>
      <c r="CC44" s="238"/>
      <c r="CD44" s="238"/>
      <c r="CE44" s="238"/>
      <c r="CF44" s="238"/>
      <c r="CG44" s="238"/>
      <c r="CH44" s="238"/>
      <c r="CI44" s="238"/>
      <c r="CJ44" s="238"/>
      <c r="CK44" s="238"/>
      <c r="CL44" s="238"/>
      <c r="CM44" s="238"/>
      <c r="CN44" s="238"/>
      <c r="CO44" s="238"/>
    </row>
    <row r="45" spans="1:93" ht="4" customHeight="1" x14ac:dyDescent="0.35"/>
    <row r="46" spans="1:93" ht="12" customHeight="1" x14ac:dyDescent="0.35">
      <c r="A46" s="78" t="s">
        <v>208</v>
      </c>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row>
    <row r="47" spans="1:93" ht="3.75" customHeight="1" x14ac:dyDescent="0.3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row>
    <row r="48" spans="1:93" ht="12" customHeight="1" x14ac:dyDescent="0.35">
      <c r="A48" s="227" t="s">
        <v>81</v>
      </c>
      <c r="B48" s="227"/>
      <c r="C48" s="227"/>
      <c r="D48" s="227"/>
      <c r="E48" s="227"/>
      <c r="F48" s="227"/>
      <c r="G48" s="227"/>
      <c r="H48" s="227"/>
      <c r="I48" s="227"/>
      <c r="J48" s="227"/>
      <c r="K48" s="227"/>
      <c r="L48" s="227"/>
      <c r="M48" s="227"/>
      <c r="N48" s="227"/>
      <c r="O48" s="227"/>
      <c r="P48" s="227"/>
      <c r="Q48" s="227"/>
      <c r="R48" s="227"/>
      <c r="S48" s="227"/>
      <c r="T48" s="227"/>
      <c r="U48" s="227"/>
      <c r="V48" s="227"/>
      <c r="W48" s="227"/>
      <c r="X48" s="227"/>
      <c r="Y48" s="227"/>
      <c r="Z48" s="227"/>
      <c r="AA48" s="227"/>
      <c r="AB48" s="227"/>
      <c r="AC48" s="227"/>
      <c r="AD48" s="227"/>
      <c r="AE48" s="227"/>
      <c r="AF48" s="227"/>
      <c r="AG48" s="227"/>
      <c r="AH48" s="227"/>
      <c r="AI48" s="227"/>
      <c r="AJ48" s="227"/>
      <c r="AK48" s="227"/>
      <c r="AL48" s="227"/>
      <c r="AM48" s="227"/>
      <c r="AN48" s="227"/>
      <c r="AO48" s="227"/>
      <c r="AP48" s="227"/>
      <c r="AQ48" s="227"/>
      <c r="AR48" s="227"/>
      <c r="AS48" s="227"/>
      <c r="AT48" s="227"/>
      <c r="AU48" s="227"/>
      <c r="AV48" s="227" t="s">
        <v>82</v>
      </c>
      <c r="AW48" s="227"/>
      <c r="AX48" s="227"/>
      <c r="AY48" s="227"/>
      <c r="AZ48" s="227"/>
      <c r="BA48" s="227"/>
      <c r="BB48" s="227"/>
      <c r="BC48" s="227"/>
      <c r="BD48" s="227"/>
      <c r="BE48" s="227"/>
      <c r="BF48" s="227"/>
      <c r="BG48" s="227"/>
      <c r="BH48" s="227"/>
      <c r="BI48" s="227"/>
      <c r="BJ48" s="227"/>
      <c r="BK48" s="227"/>
      <c r="BL48" s="227"/>
      <c r="BM48" s="227"/>
      <c r="BN48" s="227"/>
      <c r="BO48" s="227"/>
      <c r="BP48" s="227"/>
      <c r="BQ48" s="227"/>
      <c r="BR48" s="227"/>
      <c r="BS48" s="227"/>
      <c r="BT48" s="227"/>
      <c r="BU48" s="227"/>
      <c r="BV48" s="227"/>
      <c r="BW48" s="227"/>
      <c r="BX48" s="227"/>
      <c r="BY48" s="227"/>
      <c r="BZ48" s="227"/>
      <c r="CA48" s="227"/>
      <c r="CB48" s="227"/>
      <c r="CC48" s="227"/>
      <c r="CD48" s="227"/>
      <c r="CE48" s="227"/>
      <c r="CF48" s="227"/>
      <c r="CG48" s="227"/>
      <c r="CH48" s="227"/>
      <c r="CI48" s="227"/>
      <c r="CJ48" s="227"/>
      <c r="CK48" s="227"/>
      <c r="CL48" s="227"/>
      <c r="CM48" s="227"/>
      <c r="CN48" s="227"/>
      <c r="CO48" s="227"/>
    </row>
    <row r="49" spans="1:93" ht="12" customHeight="1" x14ac:dyDescent="0.35">
      <c r="A49" s="228" t="s">
        <v>61</v>
      </c>
      <c r="B49" s="228"/>
      <c r="C49" s="228"/>
      <c r="D49" s="228"/>
      <c r="E49" s="228"/>
      <c r="F49" s="228"/>
      <c r="G49" s="228"/>
      <c r="H49" s="228"/>
      <c r="I49" s="228"/>
      <c r="J49" s="228"/>
      <c r="K49" s="228"/>
      <c r="L49" s="228"/>
      <c r="M49" s="228"/>
      <c r="N49" s="228"/>
      <c r="O49" s="228"/>
      <c r="P49" s="228"/>
      <c r="Q49" s="228"/>
      <c r="R49" s="228"/>
      <c r="S49" s="228"/>
      <c r="T49" s="228"/>
      <c r="U49" s="228"/>
      <c r="V49" s="228"/>
      <c r="W49" s="228"/>
      <c r="X49" s="228"/>
      <c r="Y49" s="228"/>
      <c r="Z49" s="228"/>
      <c r="AA49" s="228"/>
      <c r="AB49" s="228"/>
      <c r="AC49" s="228"/>
      <c r="AD49" s="228"/>
      <c r="AE49" s="228"/>
      <c r="AF49" s="228"/>
      <c r="AG49" s="228"/>
      <c r="AH49" s="226"/>
      <c r="AI49" s="226"/>
      <c r="AJ49" s="226"/>
      <c r="AK49" s="226"/>
      <c r="AL49" s="226"/>
      <c r="AM49" s="226"/>
      <c r="AN49" s="226"/>
      <c r="AO49" s="226"/>
      <c r="AP49" s="226"/>
      <c r="AQ49" s="226"/>
      <c r="AR49" s="226"/>
      <c r="AS49" s="226"/>
      <c r="AT49" s="226"/>
      <c r="AU49" s="226"/>
      <c r="AV49" s="228" t="s">
        <v>62</v>
      </c>
      <c r="AW49" s="228"/>
      <c r="AX49" s="228"/>
      <c r="AY49" s="228"/>
      <c r="AZ49" s="228"/>
      <c r="BA49" s="228"/>
      <c r="BB49" s="228"/>
      <c r="BC49" s="228"/>
      <c r="BD49" s="228"/>
      <c r="BE49" s="228"/>
      <c r="BF49" s="228"/>
      <c r="BG49" s="228"/>
      <c r="BH49" s="228"/>
      <c r="BI49" s="228"/>
      <c r="BJ49" s="228"/>
      <c r="BK49" s="228"/>
      <c r="BL49" s="228"/>
      <c r="BM49" s="228"/>
      <c r="BN49" s="228"/>
      <c r="BO49" s="228"/>
      <c r="BP49" s="228"/>
      <c r="BQ49" s="228"/>
      <c r="BR49" s="228"/>
      <c r="BS49" s="228"/>
      <c r="BT49" s="228"/>
      <c r="BU49" s="228"/>
      <c r="BV49" s="228"/>
      <c r="BW49" s="228"/>
      <c r="BX49" s="228"/>
      <c r="BY49" s="228"/>
      <c r="BZ49" s="228"/>
      <c r="CA49" s="228"/>
      <c r="CB49" s="226"/>
      <c r="CC49" s="226"/>
      <c r="CD49" s="226"/>
      <c r="CE49" s="226"/>
      <c r="CF49" s="226"/>
      <c r="CG49" s="226"/>
      <c r="CH49" s="226"/>
      <c r="CI49" s="226"/>
      <c r="CJ49" s="226"/>
      <c r="CK49" s="226"/>
      <c r="CL49" s="226"/>
      <c r="CM49" s="226"/>
      <c r="CN49" s="226"/>
      <c r="CO49" s="226"/>
    </row>
    <row r="50" spans="1:93" ht="12" customHeight="1" x14ac:dyDescent="0.35">
      <c r="A50" s="228" t="s">
        <v>69</v>
      </c>
      <c r="B50" s="228"/>
      <c r="C50" s="228"/>
      <c r="D50" s="228"/>
      <c r="E50" s="228"/>
      <c r="F50" s="228"/>
      <c r="G50" s="228"/>
      <c r="H50" s="228"/>
      <c r="I50" s="228"/>
      <c r="J50" s="228"/>
      <c r="K50" s="228"/>
      <c r="L50" s="228"/>
      <c r="M50" s="228"/>
      <c r="N50" s="228"/>
      <c r="O50" s="228"/>
      <c r="P50" s="228"/>
      <c r="Q50" s="228"/>
      <c r="R50" s="228"/>
      <c r="S50" s="228"/>
      <c r="T50" s="228"/>
      <c r="U50" s="228"/>
      <c r="V50" s="226"/>
      <c r="W50" s="226"/>
      <c r="X50" s="226"/>
      <c r="Y50" s="226"/>
      <c r="Z50" s="226"/>
      <c r="AA50" s="226"/>
      <c r="AB50" s="226"/>
      <c r="AC50" s="226"/>
      <c r="AD50" s="226"/>
      <c r="AE50" s="226"/>
      <c r="AF50" s="226"/>
      <c r="AG50" s="226"/>
      <c r="AH50" s="226"/>
      <c r="AI50" s="226"/>
      <c r="AJ50" s="226"/>
      <c r="AK50" s="226"/>
      <c r="AL50" s="226"/>
      <c r="AM50" s="226"/>
      <c r="AN50" s="226"/>
      <c r="AO50" s="226"/>
      <c r="AP50" s="226"/>
      <c r="AQ50" s="226"/>
      <c r="AR50" s="226"/>
      <c r="AS50" s="226"/>
      <c r="AT50" s="226"/>
      <c r="AU50" s="226"/>
      <c r="AV50" s="228" t="s">
        <v>70</v>
      </c>
      <c r="AW50" s="228"/>
      <c r="AX50" s="228"/>
      <c r="AY50" s="228"/>
      <c r="AZ50" s="228"/>
      <c r="BA50" s="228"/>
      <c r="BB50" s="228"/>
      <c r="BC50" s="228"/>
      <c r="BD50" s="228"/>
      <c r="BE50" s="228"/>
      <c r="BF50" s="228"/>
      <c r="BG50" s="228"/>
      <c r="BH50" s="228"/>
      <c r="BI50" s="228"/>
      <c r="BJ50" s="228"/>
      <c r="BK50" s="228"/>
      <c r="BL50" s="228"/>
      <c r="BM50" s="228"/>
      <c r="BN50" s="228"/>
      <c r="BO50" s="228"/>
      <c r="BP50" s="228"/>
      <c r="BQ50" s="226"/>
      <c r="BR50" s="226"/>
      <c r="BS50" s="226"/>
      <c r="BT50" s="226"/>
      <c r="BU50" s="226"/>
      <c r="BV50" s="226"/>
      <c r="BW50" s="226"/>
      <c r="BX50" s="226"/>
      <c r="BY50" s="226"/>
      <c r="BZ50" s="226"/>
      <c r="CA50" s="226"/>
      <c r="CB50" s="226"/>
      <c r="CC50" s="226"/>
      <c r="CD50" s="226"/>
      <c r="CE50" s="226"/>
      <c r="CF50" s="226"/>
      <c r="CG50" s="226"/>
      <c r="CH50" s="226"/>
      <c r="CI50" s="226"/>
      <c r="CJ50" s="226"/>
      <c r="CK50" s="226"/>
      <c r="CL50" s="226"/>
      <c r="CM50" s="226"/>
      <c r="CN50" s="226"/>
      <c r="CO50" s="226"/>
    </row>
    <row r="51" spans="1:93" ht="12" customHeight="1" x14ac:dyDescent="0.35">
      <c r="A51" s="231" t="s">
        <v>63</v>
      </c>
      <c r="B51" s="232"/>
      <c r="C51" s="232"/>
      <c r="D51" s="232"/>
      <c r="E51" s="232"/>
      <c r="F51" s="232"/>
      <c r="G51" s="232"/>
      <c r="H51" s="232"/>
      <c r="I51" s="232"/>
      <c r="J51" s="232"/>
      <c r="K51" s="232"/>
      <c r="L51" s="232"/>
      <c r="M51" s="232"/>
      <c r="N51" s="232"/>
      <c r="O51" s="232"/>
      <c r="P51" s="232"/>
      <c r="Q51" s="232"/>
      <c r="R51" s="232"/>
      <c r="S51" s="232"/>
      <c r="T51" s="232"/>
      <c r="U51" s="233"/>
      <c r="V51" s="229" t="s">
        <v>67</v>
      </c>
      <c r="W51" s="229"/>
      <c r="X51" s="229"/>
      <c r="Y51" s="229"/>
      <c r="Z51" s="229"/>
      <c r="AA51" s="229"/>
      <c r="AB51" s="229"/>
      <c r="AC51" s="229"/>
      <c r="AD51" s="229"/>
      <c r="AE51" s="229"/>
      <c r="AF51" s="229"/>
      <c r="AG51" s="229"/>
      <c r="AH51" s="229"/>
      <c r="AI51" s="229" t="s">
        <v>68</v>
      </c>
      <c r="AJ51" s="229"/>
      <c r="AK51" s="229"/>
      <c r="AL51" s="229"/>
      <c r="AM51" s="229"/>
      <c r="AN51" s="229"/>
      <c r="AO51" s="229"/>
      <c r="AP51" s="229"/>
      <c r="AQ51" s="229"/>
      <c r="AR51" s="229"/>
      <c r="AS51" s="229"/>
      <c r="AT51" s="229"/>
      <c r="AU51" s="229"/>
      <c r="AV51" s="231" t="s">
        <v>83</v>
      </c>
      <c r="AW51" s="232"/>
      <c r="AX51" s="232"/>
      <c r="AY51" s="232"/>
      <c r="AZ51" s="232"/>
      <c r="BA51" s="232"/>
      <c r="BB51" s="232"/>
      <c r="BC51" s="232"/>
      <c r="BD51" s="232"/>
      <c r="BE51" s="232"/>
      <c r="BF51" s="232"/>
      <c r="BG51" s="232"/>
      <c r="BH51" s="232"/>
      <c r="BI51" s="232"/>
      <c r="BJ51" s="232"/>
      <c r="BK51" s="232"/>
      <c r="BL51" s="232"/>
      <c r="BM51" s="232"/>
      <c r="BN51" s="232"/>
      <c r="BO51" s="232"/>
      <c r="BP51" s="233"/>
      <c r="BQ51" s="229" t="s">
        <v>67</v>
      </c>
      <c r="BR51" s="229"/>
      <c r="BS51" s="229"/>
      <c r="BT51" s="229"/>
      <c r="BU51" s="229"/>
      <c r="BV51" s="229"/>
      <c r="BW51" s="229"/>
      <c r="BX51" s="229"/>
      <c r="BY51" s="229"/>
      <c r="BZ51" s="229"/>
      <c r="CA51" s="229"/>
      <c r="CB51" s="229"/>
      <c r="CC51" s="229"/>
      <c r="CD51" s="229" t="s">
        <v>68</v>
      </c>
      <c r="CE51" s="229"/>
      <c r="CF51" s="229"/>
      <c r="CG51" s="229"/>
      <c r="CH51" s="229"/>
      <c r="CI51" s="229"/>
      <c r="CJ51" s="229"/>
      <c r="CK51" s="229"/>
      <c r="CL51" s="229"/>
      <c r="CM51" s="229"/>
      <c r="CN51" s="229"/>
      <c r="CO51" s="229"/>
    </row>
    <row r="52" spans="1:93" ht="12" customHeight="1" x14ac:dyDescent="0.35">
      <c r="A52" s="234"/>
      <c r="B52" s="235"/>
      <c r="C52" s="235"/>
      <c r="D52" s="235"/>
      <c r="E52" s="235"/>
      <c r="F52" s="235"/>
      <c r="G52" s="235"/>
      <c r="H52" s="235"/>
      <c r="I52" s="235"/>
      <c r="J52" s="235"/>
      <c r="K52" s="235"/>
      <c r="L52" s="235"/>
      <c r="M52" s="235"/>
      <c r="N52" s="235"/>
      <c r="O52" s="235"/>
      <c r="P52" s="235"/>
      <c r="Q52" s="235"/>
      <c r="R52" s="235"/>
      <c r="S52" s="235"/>
      <c r="T52" s="235"/>
      <c r="U52" s="236"/>
      <c r="V52" s="230"/>
      <c r="W52" s="230"/>
      <c r="X52" s="230"/>
      <c r="Y52" s="230"/>
      <c r="Z52" s="230"/>
      <c r="AA52" s="230"/>
      <c r="AB52" s="230"/>
      <c r="AC52" s="230"/>
      <c r="AD52" s="230"/>
      <c r="AE52" s="230"/>
      <c r="AF52" s="230"/>
      <c r="AG52" s="230"/>
      <c r="AH52" s="230"/>
      <c r="AI52" s="230"/>
      <c r="AJ52" s="230"/>
      <c r="AK52" s="230"/>
      <c r="AL52" s="230"/>
      <c r="AM52" s="230"/>
      <c r="AN52" s="230"/>
      <c r="AO52" s="230"/>
      <c r="AP52" s="230"/>
      <c r="AQ52" s="230"/>
      <c r="AR52" s="230"/>
      <c r="AS52" s="230"/>
      <c r="AT52" s="230"/>
      <c r="AU52" s="230"/>
      <c r="AV52" s="234"/>
      <c r="AW52" s="235"/>
      <c r="AX52" s="235"/>
      <c r="AY52" s="235"/>
      <c r="AZ52" s="235"/>
      <c r="BA52" s="235"/>
      <c r="BB52" s="235"/>
      <c r="BC52" s="235"/>
      <c r="BD52" s="235"/>
      <c r="BE52" s="235"/>
      <c r="BF52" s="235"/>
      <c r="BG52" s="235"/>
      <c r="BH52" s="235"/>
      <c r="BI52" s="235"/>
      <c r="BJ52" s="235"/>
      <c r="BK52" s="235"/>
      <c r="BL52" s="235"/>
      <c r="BM52" s="235"/>
      <c r="BN52" s="235"/>
      <c r="BO52" s="235"/>
      <c r="BP52" s="236"/>
      <c r="BQ52" s="230"/>
      <c r="BR52" s="230"/>
      <c r="BS52" s="230"/>
      <c r="BT52" s="230"/>
      <c r="BU52" s="230"/>
      <c r="BV52" s="230"/>
      <c r="BW52" s="230"/>
      <c r="BX52" s="230"/>
      <c r="BY52" s="230"/>
      <c r="BZ52" s="230"/>
      <c r="CA52" s="230"/>
      <c r="CB52" s="230"/>
      <c r="CC52" s="230"/>
      <c r="CD52" s="230"/>
      <c r="CE52" s="230"/>
      <c r="CF52" s="230"/>
      <c r="CG52" s="230"/>
      <c r="CH52" s="230"/>
      <c r="CI52" s="230"/>
      <c r="CJ52" s="230"/>
      <c r="CK52" s="230"/>
      <c r="CL52" s="230"/>
      <c r="CM52" s="230"/>
      <c r="CN52" s="230"/>
      <c r="CO52" s="230"/>
    </row>
    <row r="53" spans="1:93" ht="12" customHeight="1" x14ac:dyDescent="0.35">
      <c r="A53" s="117" t="s">
        <v>64</v>
      </c>
      <c r="B53" s="96"/>
      <c r="C53" s="96"/>
      <c r="D53" s="96"/>
      <c r="E53" s="96"/>
      <c r="F53" s="96"/>
      <c r="G53" s="96"/>
      <c r="H53" s="96"/>
      <c r="I53" s="96"/>
      <c r="J53" s="96"/>
      <c r="K53" s="96"/>
      <c r="L53" s="96"/>
      <c r="M53" s="96"/>
      <c r="N53" s="96"/>
      <c r="O53" s="96"/>
      <c r="P53" s="96"/>
      <c r="Q53" s="96"/>
      <c r="R53" s="96"/>
      <c r="S53" s="96"/>
      <c r="T53" s="96"/>
      <c r="U53" s="96"/>
      <c r="V53" s="230"/>
      <c r="W53" s="230"/>
      <c r="X53" s="230"/>
      <c r="Y53" s="230"/>
      <c r="Z53" s="230"/>
      <c r="AA53" s="230"/>
      <c r="AB53" s="230"/>
      <c r="AC53" s="230"/>
      <c r="AD53" s="230"/>
      <c r="AE53" s="230"/>
      <c r="AF53" s="230"/>
      <c r="AG53" s="230"/>
      <c r="AH53" s="230"/>
      <c r="AI53" s="230"/>
      <c r="AJ53" s="230"/>
      <c r="AK53" s="230"/>
      <c r="AL53" s="230"/>
      <c r="AM53" s="230"/>
      <c r="AN53" s="230"/>
      <c r="AO53" s="230"/>
      <c r="AP53" s="230"/>
      <c r="AQ53" s="230"/>
      <c r="AR53" s="230"/>
      <c r="AS53" s="230"/>
      <c r="AT53" s="230"/>
      <c r="AU53" s="230"/>
      <c r="AV53" s="117" t="s">
        <v>84</v>
      </c>
      <c r="AW53" s="96"/>
      <c r="AX53" s="96"/>
      <c r="AY53" s="96"/>
      <c r="AZ53" s="96"/>
      <c r="BA53" s="96"/>
      <c r="BB53" s="96"/>
      <c r="BC53" s="96"/>
      <c r="BD53" s="96"/>
      <c r="BE53" s="96"/>
      <c r="BF53" s="96"/>
      <c r="BG53" s="96"/>
      <c r="BH53" s="96"/>
      <c r="BI53" s="96"/>
      <c r="BJ53" s="96"/>
      <c r="BK53" s="96"/>
      <c r="BL53" s="96"/>
      <c r="BM53" s="96"/>
      <c r="BN53" s="96"/>
      <c r="BO53" s="96"/>
      <c r="BP53" s="96"/>
      <c r="BQ53" s="230"/>
      <c r="BR53" s="230"/>
      <c r="BS53" s="230"/>
      <c r="BT53" s="230"/>
      <c r="BU53" s="230"/>
      <c r="BV53" s="230"/>
      <c r="BW53" s="230"/>
      <c r="BX53" s="230"/>
      <c r="BY53" s="230"/>
      <c r="BZ53" s="230"/>
      <c r="CA53" s="230"/>
      <c r="CB53" s="230"/>
      <c r="CC53" s="230"/>
      <c r="CD53" s="230"/>
      <c r="CE53" s="230"/>
      <c r="CF53" s="230"/>
      <c r="CG53" s="230"/>
      <c r="CH53" s="230"/>
      <c r="CI53" s="230"/>
      <c r="CJ53" s="230"/>
      <c r="CK53" s="230"/>
      <c r="CL53" s="230"/>
      <c r="CM53" s="230"/>
      <c r="CN53" s="230"/>
      <c r="CO53" s="230"/>
    </row>
    <row r="54" spans="1:93" ht="12" customHeight="1" x14ac:dyDescent="0.35">
      <c r="A54" s="117" t="s">
        <v>358</v>
      </c>
      <c r="B54" s="96"/>
      <c r="C54" s="96"/>
      <c r="D54" s="96"/>
      <c r="E54" s="96"/>
      <c r="F54" s="96"/>
      <c r="G54" s="96"/>
      <c r="H54" s="96"/>
      <c r="I54" s="96"/>
      <c r="J54" s="96"/>
      <c r="K54" s="96"/>
      <c r="L54" s="96"/>
      <c r="M54" s="96"/>
      <c r="N54" s="96"/>
      <c r="O54" s="96"/>
      <c r="P54" s="96"/>
      <c r="Q54" s="96"/>
      <c r="R54" s="96"/>
      <c r="S54" s="96"/>
      <c r="T54" s="96"/>
      <c r="U54" s="96"/>
      <c r="V54" s="230"/>
      <c r="W54" s="230"/>
      <c r="X54" s="230"/>
      <c r="Y54" s="230"/>
      <c r="Z54" s="230"/>
      <c r="AA54" s="230"/>
      <c r="AB54" s="230"/>
      <c r="AC54" s="230"/>
      <c r="AD54" s="230"/>
      <c r="AE54" s="230"/>
      <c r="AF54" s="230"/>
      <c r="AG54" s="230"/>
      <c r="AH54" s="230"/>
      <c r="AI54" s="230"/>
      <c r="AJ54" s="230"/>
      <c r="AK54" s="230"/>
      <c r="AL54" s="230"/>
      <c r="AM54" s="230"/>
      <c r="AN54" s="230"/>
      <c r="AO54" s="230"/>
      <c r="AP54" s="230"/>
      <c r="AQ54" s="230"/>
      <c r="AR54" s="230"/>
      <c r="AS54" s="230"/>
      <c r="AT54" s="230"/>
      <c r="AU54" s="230"/>
      <c r="AV54" s="117" t="s">
        <v>360</v>
      </c>
      <c r="AW54" s="96"/>
      <c r="AX54" s="96"/>
      <c r="AY54" s="96"/>
      <c r="AZ54" s="96"/>
      <c r="BA54" s="96"/>
      <c r="BB54" s="96"/>
      <c r="BC54" s="96"/>
      <c r="BD54" s="96"/>
      <c r="BE54" s="96"/>
      <c r="BF54" s="96"/>
      <c r="BG54" s="96"/>
      <c r="BH54" s="96"/>
      <c r="BI54" s="96"/>
      <c r="BJ54" s="96"/>
      <c r="BK54" s="96"/>
      <c r="BL54" s="96"/>
      <c r="BM54" s="96"/>
      <c r="BN54" s="96"/>
      <c r="BO54" s="96"/>
      <c r="BP54" s="96"/>
      <c r="BQ54" s="230"/>
      <c r="BR54" s="230"/>
      <c r="BS54" s="230"/>
      <c r="BT54" s="230"/>
      <c r="BU54" s="230"/>
      <c r="BV54" s="230"/>
      <c r="BW54" s="230"/>
      <c r="BX54" s="230"/>
      <c r="BY54" s="230"/>
      <c r="BZ54" s="230"/>
      <c r="CA54" s="230"/>
      <c r="CB54" s="230"/>
      <c r="CC54" s="230"/>
      <c r="CD54" s="230"/>
      <c r="CE54" s="230"/>
      <c r="CF54" s="230"/>
      <c r="CG54" s="230"/>
      <c r="CH54" s="230"/>
      <c r="CI54" s="230"/>
      <c r="CJ54" s="230"/>
      <c r="CK54" s="230"/>
      <c r="CL54" s="230"/>
      <c r="CM54" s="230"/>
      <c r="CN54" s="230"/>
      <c r="CO54" s="230"/>
    </row>
    <row r="55" spans="1:93" ht="12" customHeight="1" x14ac:dyDescent="0.35">
      <c r="A55" s="117" t="s">
        <v>359</v>
      </c>
      <c r="B55" s="96"/>
      <c r="C55" s="96"/>
      <c r="D55" s="96"/>
      <c r="E55" s="96"/>
      <c r="F55" s="96"/>
      <c r="G55" s="96"/>
      <c r="H55" s="96"/>
      <c r="I55" s="96"/>
      <c r="J55" s="96"/>
      <c r="K55" s="96"/>
      <c r="L55" s="96"/>
      <c r="M55" s="96"/>
      <c r="N55" s="96"/>
      <c r="O55" s="96"/>
      <c r="P55" s="96"/>
      <c r="Q55" s="96"/>
      <c r="R55" s="96"/>
      <c r="S55" s="96"/>
      <c r="T55" s="96"/>
      <c r="U55" s="96"/>
      <c r="V55" s="230"/>
      <c r="W55" s="230"/>
      <c r="X55" s="230"/>
      <c r="Y55" s="230"/>
      <c r="Z55" s="230"/>
      <c r="AA55" s="230"/>
      <c r="AB55" s="230"/>
      <c r="AC55" s="230"/>
      <c r="AD55" s="230"/>
      <c r="AE55" s="230"/>
      <c r="AF55" s="230"/>
      <c r="AG55" s="230"/>
      <c r="AH55" s="230"/>
      <c r="AI55" s="230"/>
      <c r="AJ55" s="230"/>
      <c r="AK55" s="230"/>
      <c r="AL55" s="230"/>
      <c r="AM55" s="230"/>
      <c r="AN55" s="230"/>
      <c r="AO55" s="230"/>
      <c r="AP55" s="230"/>
      <c r="AQ55" s="230"/>
      <c r="AR55" s="230"/>
      <c r="AS55" s="230"/>
      <c r="AT55" s="230"/>
      <c r="AU55" s="230"/>
      <c r="AV55" s="117" t="s">
        <v>361</v>
      </c>
      <c r="AW55" s="96"/>
      <c r="AX55" s="96"/>
      <c r="AY55" s="96"/>
      <c r="AZ55" s="96"/>
      <c r="BA55" s="96"/>
      <c r="BB55" s="96"/>
      <c r="BC55" s="96"/>
      <c r="BD55" s="96"/>
      <c r="BE55" s="96"/>
      <c r="BF55" s="96"/>
      <c r="BG55" s="96"/>
      <c r="BH55" s="96"/>
      <c r="BI55" s="96"/>
      <c r="BJ55" s="96"/>
      <c r="BK55" s="96"/>
      <c r="BL55" s="96"/>
      <c r="BM55" s="96"/>
      <c r="BN55" s="96"/>
      <c r="BO55" s="96"/>
      <c r="BP55" s="96"/>
      <c r="BQ55" s="230"/>
      <c r="BR55" s="230"/>
      <c r="BS55" s="230"/>
      <c r="BT55" s="230"/>
      <c r="BU55" s="230"/>
      <c r="BV55" s="230"/>
      <c r="BW55" s="230"/>
      <c r="BX55" s="230"/>
      <c r="BY55" s="230"/>
      <c r="BZ55" s="230"/>
      <c r="CA55" s="230"/>
      <c r="CB55" s="230"/>
      <c r="CC55" s="230"/>
      <c r="CD55" s="230"/>
      <c r="CE55" s="230"/>
      <c r="CF55" s="230"/>
      <c r="CG55" s="230"/>
      <c r="CH55" s="230"/>
      <c r="CI55" s="230"/>
      <c r="CJ55" s="230"/>
      <c r="CK55" s="230"/>
      <c r="CL55" s="230"/>
      <c r="CM55" s="230"/>
      <c r="CN55" s="230"/>
      <c r="CO55" s="230"/>
    </row>
    <row r="56" spans="1:93" ht="12" customHeight="1" x14ac:dyDescent="0.35">
      <c r="A56" s="117" t="s">
        <v>65</v>
      </c>
      <c r="B56" s="96"/>
      <c r="C56" s="96"/>
      <c r="D56" s="96"/>
      <c r="E56" s="96"/>
      <c r="F56" s="96"/>
      <c r="G56" s="96"/>
      <c r="H56" s="96"/>
      <c r="I56" s="96"/>
      <c r="J56" s="96"/>
      <c r="K56" s="96"/>
      <c r="L56" s="96"/>
      <c r="M56" s="96"/>
      <c r="N56" s="96"/>
      <c r="O56" s="96"/>
      <c r="P56" s="96"/>
      <c r="Q56" s="96"/>
      <c r="R56" s="96"/>
      <c r="S56" s="96"/>
      <c r="T56" s="96"/>
      <c r="U56" s="96"/>
      <c r="V56" s="237"/>
      <c r="W56" s="237"/>
      <c r="X56" s="237"/>
      <c r="Y56" s="237"/>
      <c r="Z56" s="237"/>
      <c r="AA56" s="237"/>
      <c r="AB56" s="237"/>
      <c r="AC56" s="237"/>
      <c r="AD56" s="237"/>
      <c r="AE56" s="237"/>
      <c r="AF56" s="237"/>
      <c r="AG56" s="237"/>
      <c r="AH56" s="237"/>
      <c r="AI56" s="237"/>
      <c r="AJ56" s="237"/>
      <c r="AK56" s="237"/>
      <c r="AL56" s="237"/>
      <c r="AM56" s="237"/>
      <c r="AN56" s="237"/>
      <c r="AO56" s="237"/>
      <c r="AP56" s="237"/>
      <c r="AQ56" s="237"/>
      <c r="AR56" s="237"/>
      <c r="AS56" s="237"/>
      <c r="AT56" s="237"/>
      <c r="AU56" s="237"/>
      <c r="AV56" s="117" t="s">
        <v>85</v>
      </c>
      <c r="AW56" s="96"/>
      <c r="AX56" s="96"/>
      <c r="AY56" s="96"/>
      <c r="AZ56" s="96"/>
      <c r="BA56" s="96"/>
      <c r="BB56" s="96"/>
      <c r="BC56" s="96"/>
      <c r="BD56" s="96"/>
      <c r="BE56" s="96"/>
      <c r="BF56" s="96"/>
      <c r="BG56" s="96"/>
      <c r="BH56" s="96"/>
      <c r="BI56" s="96"/>
      <c r="BJ56" s="96"/>
      <c r="BK56" s="96"/>
      <c r="BL56" s="96"/>
      <c r="BM56" s="96"/>
      <c r="BN56" s="96"/>
      <c r="BO56" s="96"/>
      <c r="BP56" s="96"/>
      <c r="BQ56" s="237"/>
      <c r="BR56" s="237"/>
      <c r="BS56" s="237"/>
      <c r="BT56" s="237"/>
      <c r="BU56" s="237"/>
      <c r="BV56" s="237"/>
      <c r="BW56" s="237"/>
      <c r="BX56" s="237"/>
      <c r="BY56" s="237"/>
      <c r="BZ56" s="237"/>
      <c r="CA56" s="237"/>
      <c r="CB56" s="237"/>
      <c r="CC56" s="237"/>
      <c r="CD56" s="237"/>
      <c r="CE56" s="237"/>
      <c r="CF56" s="237"/>
      <c r="CG56" s="237"/>
      <c r="CH56" s="237"/>
      <c r="CI56" s="237"/>
      <c r="CJ56" s="237"/>
      <c r="CK56" s="237"/>
      <c r="CL56" s="237"/>
      <c r="CM56" s="237"/>
      <c r="CN56" s="237"/>
      <c r="CO56" s="237"/>
    </row>
    <row r="57" spans="1:93" ht="12" customHeight="1" x14ac:dyDescent="0.35">
      <c r="A57" s="117" t="s">
        <v>66</v>
      </c>
      <c r="B57" s="96"/>
      <c r="C57" s="96"/>
      <c r="D57" s="96"/>
      <c r="E57" s="96"/>
      <c r="F57" s="96"/>
      <c r="G57" s="96"/>
      <c r="H57" s="96"/>
      <c r="I57" s="96"/>
      <c r="J57" s="96"/>
      <c r="K57" s="96"/>
      <c r="L57" s="96"/>
      <c r="M57" s="96"/>
      <c r="N57" s="96"/>
      <c r="O57" s="96"/>
      <c r="P57" s="96"/>
      <c r="Q57" s="96"/>
      <c r="R57" s="96"/>
      <c r="S57" s="96"/>
      <c r="T57" s="96"/>
      <c r="U57" s="96"/>
      <c r="V57" s="117"/>
      <c r="W57" s="117"/>
      <c r="X57" s="117"/>
      <c r="Y57" s="117"/>
      <c r="Z57" s="117"/>
      <c r="AA57" s="117"/>
      <c r="AB57" s="117"/>
      <c r="AC57" s="117"/>
      <c r="AD57" s="117"/>
      <c r="AE57" s="117"/>
      <c r="AF57" s="117"/>
      <c r="AG57" s="117"/>
      <c r="AH57" s="117"/>
      <c r="AI57" s="117"/>
      <c r="AJ57" s="117"/>
      <c r="AK57" s="117"/>
      <c r="AL57" s="117"/>
      <c r="AM57" s="117"/>
      <c r="AN57" s="117"/>
      <c r="AO57" s="117"/>
      <c r="AP57" s="117"/>
      <c r="AQ57" s="117"/>
      <c r="AR57" s="117"/>
      <c r="AS57" s="117"/>
      <c r="AT57" s="117"/>
      <c r="AU57" s="117"/>
      <c r="AV57" s="117" t="s">
        <v>86</v>
      </c>
      <c r="AW57" s="96"/>
      <c r="AX57" s="96"/>
      <c r="AY57" s="96"/>
      <c r="AZ57" s="96"/>
      <c r="BA57" s="96"/>
      <c r="BB57" s="96"/>
      <c r="BC57" s="96"/>
      <c r="BD57" s="96"/>
      <c r="BE57" s="96"/>
      <c r="BF57" s="96"/>
      <c r="BG57" s="96"/>
      <c r="BH57" s="96"/>
      <c r="BI57" s="96"/>
      <c r="BJ57" s="96"/>
      <c r="BK57" s="96"/>
      <c r="BL57" s="96"/>
      <c r="BM57" s="96"/>
      <c r="BN57" s="96"/>
      <c r="BO57" s="96"/>
      <c r="BP57" s="96"/>
      <c r="BQ57" s="117"/>
      <c r="BR57" s="117"/>
      <c r="BS57" s="117"/>
      <c r="BT57" s="117"/>
      <c r="BU57" s="117"/>
      <c r="BV57" s="117"/>
      <c r="BW57" s="117"/>
      <c r="BX57" s="117"/>
      <c r="BY57" s="117"/>
      <c r="BZ57" s="117"/>
      <c r="CA57" s="117"/>
      <c r="CB57" s="117"/>
      <c r="CC57" s="117"/>
      <c r="CD57" s="117"/>
      <c r="CE57" s="117"/>
      <c r="CF57" s="117"/>
      <c r="CG57" s="117"/>
      <c r="CH57" s="117"/>
      <c r="CI57" s="117"/>
      <c r="CJ57" s="117"/>
      <c r="CK57" s="117"/>
      <c r="CL57" s="117"/>
      <c r="CM57" s="117"/>
      <c r="CN57" s="117"/>
      <c r="CO57" s="117"/>
    </row>
    <row r="58" spans="1:93" ht="6.75" customHeight="1" x14ac:dyDescent="0.35"/>
    <row r="59" spans="1:93" ht="12" customHeight="1" x14ac:dyDescent="0.35">
      <c r="BD59" s="68" t="s">
        <v>73</v>
      </c>
      <c r="BE59" s="68"/>
      <c r="BF59" s="68"/>
      <c r="BG59" s="68"/>
      <c r="BH59" s="68"/>
      <c r="BI59" s="68"/>
      <c r="BJ59" s="68"/>
      <c r="BK59" s="68"/>
      <c r="BL59" s="68"/>
      <c r="BM59" s="68"/>
      <c r="BN59" s="68"/>
      <c r="BO59" s="68"/>
      <c r="BP59" s="68"/>
      <c r="BQ59" s="68"/>
      <c r="BR59" s="68"/>
      <c r="BS59" s="68"/>
      <c r="BT59" s="68"/>
      <c r="BU59" s="68"/>
      <c r="BV59" s="68"/>
      <c r="BW59" s="68"/>
      <c r="BX59" s="68"/>
      <c r="BY59" s="68"/>
      <c r="BZ59" s="68"/>
      <c r="CA59" s="68"/>
      <c r="CB59" s="68"/>
      <c r="CC59" s="68"/>
      <c r="CD59" s="68"/>
      <c r="CE59" s="68"/>
      <c r="CF59" s="68"/>
      <c r="CG59" s="68"/>
      <c r="CH59" s="68"/>
      <c r="CI59" s="68"/>
      <c r="CJ59" s="68"/>
      <c r="CK59" s="68"/>
      <c r="CL59" s="68"/>
      <c r="CM59" s="68"/>
      <c r="CN59" s="68"/>
      <c r="CO59" s="68"/>
    </row>
    <row r="60" spans="1:93" ht="12" customHeight="1" x14ac:dyDescent="0.35">
      <c r="BD60" s="68"/>
      <c r="BE60" s="68"/>
      <c r="BF60" s="68"/>
      <c r="BG60" s="68"/>
      <c r="BH60" s="68"/>
      <c r="BI60" s="68"/>
      <c r="BJ60" s="68"/>
      <c r="BK60" s="68"/>
      <c r="BL60" s="68"/>
      <c r="BM60" s="68"/>
      <c r="BN60" s="68"/>
      <c r="BO60" s="68"/>
      <c r="BP60" s="68"/>
      <c r="BQ60" s="68"/>
      <c r="BR60" s="68"/>
      <c r="BS60" s="68"/>
      <c r="BT60" s="68"/>
      <c r="BU60" s="68"/>
      <c r="BV60" s="68"/>
      <c r="BW60" s="68"/>
      <c r="BX60" s="68"/>
      <c r="BY60" s="68"/>
      <c r="BZ60" s="68"/>
      <c r="CA60" s="68"/>
      <c r="CB60" s="68"/>
      <c r="CC60" s="68"/>
      <c r="CD60" s="68"/>
      <c r="CE60" s="68"/>
      <c r="CF60" s="68"/>
      <c r="CG60" s="68"/>
      <c r="CH60" s="68"/>
      <c r="CI60" s="68"/>
      <c r="CJ60" s="68"/>
      <c r="CK60" s="68"/>
      <c r="CL60" s="68"/>
      <c r="CM60" s="68"/>
      <c r="CN60" s="68"/>
      <c r="CO60" s="68"/>
    </row>
    <row r="61" spans="1:93" ht="13" customHeight="1" x14ac:dyDescent="0.35">
      <c r="BD61" s="164" t="s">
        <v>74</v>
      </c>
      <c r="BE61" s="164"/>
      <c r="BF61" s="164"/>
      <c r="BG61" s="164"/>
      <c r="BH61" s="164"/>
      <c r="BI61" s="164"/>
      <c r="BJ61" s="164"/>
      <c r="BK61" s="164"/>
      <c r="BL61" s="164"/>
      <c r="BM61" s="164"/>
      <c r="BN61" s="164"/>
      <c r="BO61" s="164"/>
      <c r="BP61" s="164"/>
      <c r="BQ61" s="164"/>
      <c r="BR61" s="164"/>
      <c r="BS61" s="164"/>
      <c r="BT61" s="164"/>
      <c r="BU61" s="164"/>
      <c r="BV61" s="164"/>
      <c r="BW61" s="164"/>
      <c r="BX61" s="164"/>
      <c r="BY61" s="164"/>
      <c r="BZ61" s="164"/>
      <c r="CA61" s="164"/>
      <c r="CB61" s="164"/>
      <c r="CC61" s="164"/>
      <c r="CD61" s="164"/>
      <c r="CE61" s="164"/>
      <c r="CF61" s="164"/>
      <c r="CG61" s="164"/>
      <c r="CH61" s="164"/>
      <c r="CI61" s="164"/>
      <c r="CJ61" s="164"/>
      <c r="CK61" s="164"/>
      <c r="CL61" s="164"/>
      <c r="CM61" s="164"/>
      <c r="CN61" s="164"/>
      <c r="CO61" s="164"/>
    </row>
    <row r="62" spans="1:93" ht="13" customHeight="1" x14ac:dyDescent="0.35">
      <c r="BD62" s="164" t="s">
        <v>75</v>
      </c>
      <c r="BE62" s="164"/>
      <c r="BF62" s="164"/>
      <c r="BG62" s="164"/>
      <c r="BH62" s="164"/>
      <c r="BI62" s="164"/>
      <c r="BJ62" s="164"/>
      <c r="BK62" s="164"/>
      <c r="BL62" s="164"/>
      <c r="BM62" s="164"/>
      <c r="BN62" s="164"/>
      <c r="BO62" s="164"/>
      <c r="BP62" s="164"/>
      <c r="BQ62" s="164"/>
      <c r="BR62" s="164"/>
      <c r="BS62" s="164"/>
      <c r="BT62" s="164"/>
      <c r="BU62" s="164"/>
      <c r="BV62" s="164"/>
      <c r="BW62" s="164"/>
      <c r="BX62" s="164"/>
      <c r="BY62" s="164"/>
      <c r="BZ62" s="164"/>
      <c r="CA62" s="164"/>
      <c r="CB62" s="164"/>
      <c r="CC62" s="164"/>
      <c r="CD62" s="164"/>
      <c r="CE62" s="164"/>
      <c r="CF62" s="164"/>
      <c r="CG62" s="164"/>
      <c r="CH62" s="164"/>
      <c r="CI62" s="164"/>
      <c r="CJ62" s="164"/>
      <c r="CK62" s="164"/>
      <c r="CL62" s="164"/>
      <c r="CM62" s="164"/>
      <c r="CN62" s="164"/>
      <c r="CO62" s="164"/>
    </row>
    <row r="63" spans="1:93" ht="13" customHeight="1" x14ac:dyDescent="0.35">
      <c r="BD63" s="164" t="s">
        <v>72</v>
      </c>
      <c r="BE63" s="164"/>
      <c r="BF63" s="164"/>
      <c r="BG63" s="164"/>
      <c r="BH63" s="164"/>
      <c r="BI63" s="164"/>
      <c r="BJ63" s="164"/>
      <c r="BK63" s="164"/>
      <c r="BL63" s="164"/>
      <c r="BM63" s="164"/>
      <c r="BN63" s="164"/>
      <c r="BO63" s="164"/>
      <c r="BP63" s="164"/>
      <c r="BQ63" s="164"/>
      <c r="BR63" s="164"/>
      <c r="BS63" s="164"/>
      <c r="BT63" s="164"/>
      <c r="BU63" s="164"/>
      <c r="BV63" s="164"/>
      <c r="BW63" s="164"/>
      <c r="BX63" s="164"/>
      <c r="BY63" s="164"/>
      <c r="BZ63" s="164"/>
      <c r="CA63" s="164"/>
      <c r="CB63" s="164"/>
      <c r="CC63" s="164"/>
      <c r="CD63" s="164"/>
      <c r="CE63" s="164"/>
      <c r="CF63" s="164"/>
      <c r="CG63" s="164"/>
      <c r="CH63" s="164"/>
      <c r="CI63" s="164"/>
      <c r="CJ63" s="164"/>
      <c r="CK63" s="164"/>
      <c r="CL63" s="164"/>
      <c r="CM63" s="164"/>
      <c r="CN63" s="164"/>
      <c r="CO63" s="164"/>
    </row>
    <row r="64" spans="1:93" s="9" customFormat="1" ht="12" customHeight="1" x14ac:dyDescent="0.35">
      <c r="A64" s="10" t="s">
        <v>76</v>
      </c>
      <c r="B64" s="10"/>
      <c r="C64" s="10"/>
      <c r="D64" s="10"/>
      <c r="E64" s="10"/>
      <c r="F64" s="10"/>
      <c r="G64" s="10"/>
      <c r="H64" s="10"/>
      <c r="I64" s="10"/>
      <c r="J64" s="10"/>
      <c r="K64" s="10"/>
      <c r="L64" s="10"/>
      <c r="M64" s="10"/>
      <c r="N64" s="10"/>
    </row>
    <row r="65" spans="1:131" s="9" customFormat="1" ht="12" customHeight="1" x14ac:dyDescent="0.35">
      <c r="A65" s="9" t="s">
        <v>77</v>
      </c>
    </row>
    <row r="66" spans="1:131" s="9" customFormat="1" ht="13" x14ac:dyDescent="0.35">
      <c r="A66" s="9" t="s">
        <v>78</v>
      </c>
    </row>
    <row r="67" spans="1:131" ht="15" customHeight="1" x14ac:dyDescent="0.35">
      <c r="AK67" s="222" t="s">
        <v>88</v>
      </c>
      <c r="AL67" s="222"/>
      <c r="AM67" s="222"/>
      <c r="AN67" s="222"/>
      <c r="AO67" s="222"/>
      <c r="AP67" s="222"/>
      <c r="AQ67" s="222"/>
      <c r="AR67" s="222"/>
      <c r="AS67" s="222"/>
      <c r="AT67" s="222"/>
      <c r="AU67" s="222"/>
      <c r="AV67" s="222"/>
      <c r="AW67" s="222"/>
      <c r="AX67" s="222"/>
      <c r="AY67" s="222"/>
      <c r="AZ67" s="222"/>
      <c r="BA67" s="222"/>
      <c r="BB67" s="222"/>
      <c r="BC67" s="222"/>
      <c r="BD67" s="222"/>
      <c r="BI67" s="8"/>
      <c r="BJ67" s="8"/>
      <c r="BK67" s="8"/>
      <c r="BT67" s="194" t="s">
        <v>87</v>
      </c>
      <c r="BU67" s="194"/>
      <c r="BV67" s="194"/>
      <c r="BW67" s="194"/>
      <c r="BX67" s="194"/>
      <c r="BY67" s="194"/>
      <c r="BZ67" s="54" t="str">
        <f>AQ3</f>
        <v>0516/01</v>
      </c>
      <c r="CE67" s="18"/>
      <c r="CF67" s="18"/>
      <c r="CG67" s="18"/>
      <c r="CH67" s="18"/>
      <c r="CI67" s="18"/>
      <c r="CJ67" s="18"/>
      <c r="CK67" s="18"/>
      <c r="CL67" s="18"/>
      <c r="CM67" s="18"/>
      <c r="CN67" s="18"/>
      <c r="CO67" s="18"/>
    </row>
    <row r="68" spans="1:131" ht="15.75" customHeight="1" x14ac:dyDescent="0.3">
      <c r="AK68" s="20"/>
      <c r="AL68" s="20"/>
      <c r="AM68" s="20"/>
      <c r="AN68" s="20"/>
      <c r="AO68" s="20"/>
      <c r="AP68" s="20"/>
      <c r="AQ68" s="20"/>
      <c r="AR68" s="20"/>
      <c r="AS68" s="20"/>
      <c r="AT68" s="20"/>
      <c r="AU68" s="20"/>
      <c r="AV68" s="20"/>
      <c r="AW68" s="20"/>
      <c r="AX68" s="20"/>
      <c r="AY68" s="20"/>
      <c r="AZ68" s="20"/>
      <c r="BA68" s="20"/>
      <c r="BB68" s="20"/>
      <c r="BC68" s="20"/>
      <c r="BD68" s="20"/>
      <c r="BI68" s="8"/>
      <c r="BJ68" s="8"/>
      <c r="BK68" s="8"/>
      <c r="BL68" s="8"/>
      <c r="BV68" s="8"/>
      <c r="BW68" s="8"/>
      <c r="BX68" s="21"/>
      <c r="BY68" s="21"/>
      <c r="BZ68" s="218" t="s">
        <v>221</v>
      </c>
      <c r="CA68" s="218"/>
      <c r="CB68" s="218"/>
      <c r="CC68" s="218"/>
      <c r="CD68" s="218"/>
      <c r="CE68" s="223">
        <f>BQ23</f>
        <v>0</v>
      </c>
      <c r="CF68" s="223"/>
      <c r="CG68" s="223"/>
      <c r="CH68" s="223"/>
      <c r="CI68" s="223"/>
      <c r="CJ68" s="223"/>
      <c r="CK68" s="223"/>
      <c r="CL68" s="223"/>
      <c r="CM68" s="223"/>
      <c r="CN68" s="223"/>
      <c r="CO68" s="223"/>
    </row>
    <row r="69" spans="1:131" ht="15" customHeight="1" x14ac:dyDescent="0.35">
      <c r="A69" s="178" t="s">
        <v>89</v>
      </c>
      <c r="B69" s="178"/>
      <c r="C69" s="178"/>
      <c r="D69" s="178"/>
      <c r="E69" s="178"/>
      <c r="F69" s="178"/>
      <c r="G69" s="178"/>
      <c r="H69" s="178"/>
      <c r="I69" s="178"/>
      <c r="J69" s="178"/>
      <c r="K69" s="178"/>
      <c r="L69" s="178"/>
      <c r="M69" s="178"/>
      <c r="N69" s="178"/>
      <c r="O69" s="178"/>
      <c r="P69" s="178"/>
      <c r="Q69" s="178"/>
      <c r="R69" s="178"/>
      <c r="S69" s="178"/>
      <c r="T69" s="178"/>
      <c r="U69" s="178"/>
      <c r="V69" s="178"/>
      <c r="W69" s="178"/>
      <c r="X69" s="178"/>
      <c r="Y69" s="178"/>
      <c r="Z69" s="178"/>
      <c r="AA69" s="178"/>
      <c r="AB69" s="178"/>
      <c r="AC69" s="178"/>
      <c r="AD69" s="178"/>
      <c r="AE69" s="178"/>
      <c r="AF69" s="178"/>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8"/>
      <c r="BI69" s="178"/>
      <c r="BJ69" s="178"/>
      <c r="BK69" s="178"/>
      <c r="BL69" s="178"/>
      <c r="BM69" s="178"/>
      <c r="BN69" s="178"/>
      <c r="BO69" s="178"/>
      <c r="BP69" s="178"/>
      <c r="BQ69" s="178"/>
      <c r="BR69" s="178"/>
      <c r="BS69" s="178"/>
      <c r="BT69" s="178"/>
      <c r="BU69" s="178"/>
      <c r="BV69" s="178"/>
      <c r="BW69" s="178"/>
      <c r="BX69" s="178"/>
      <c r="BY69" s="178"/>
      <c r="BZ69" s="178"/>
      <c r="CA69" s="178"/>
      <c r="CB69" s="178"/>
      <c r="CC69" s="178"/>
      <c r="CD69" s="178"/>
      <c r="CE69" s="178"/>
      <c r="CF69" s="178"/>
      <c r="CG69" s="178"/>
      <c r="CH69" s="178"/>
      <c r="CI69" s="178"/>
      <c r="CJ69" s="178"/>
      <c r="CK69" s="178"/>
      <c r="CL69" s="178"/>
      <c r="CM69" s="178"/>
      <c r="CN69" s="178"/>
      <c r="CO69" s="178"/>
    </row>
    <row r="70" spans="1:131" ht="10" customHeight="1" x14ac:dyDescent="0.3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row>
    <row r="71" spans="1:131" x14ac:dyDescent="0.35">
      <c r="A71" s="123" t="s">
        <v>55</v>
      </c>
      <c r="B71" s="123"/>
      <c r="C71" s="123"/>
      <c r="D71" s="123"/>
      <c r="E71" s="123"/>
      <c r="F71" s="123"/>
      <c r="G71" s="179">
        <f>X30</f>
        <v>0</v>
      </c>
      <c r="H71" s="179"/>
      <c r="I71" s="179"/>
      <c r="J71" s="179"/>
      <c r="K71" s="179"/>
      <c r="L71" s="179"/>
      <c r="M71" s="179"/>
      <c r="N71" s="179"/>
      <c r="O71" s="179"/>
      <c r="P71" s="179"/>
      <c r="Q71" s="179"/>
      <c r="R71" s="179"/>
      <c r="S71" s="179"/>
      <c r="T71" s="31"/>
      <c r="U71" s="180" t="str">
        <f>IF(BG34="not applicable", "Existing CD:", "New CD:")</f>
        <v>Existing CD:</v>
      </c>
      <c r="V71" s="180"/>
      <c r="W71" s="180"/>
      <c r="X71" s="180"/>
      <c r="Y71" s="180"/>
      <c r="Z71" s="180"/>
      <c r="AA71" s="180"/>
      <c r="AB71" s="180"/>
      <c r="AC71" s="180"/>
      <c r="AD71" s="180"/>
      <c r="AE71" s="180"/>
      <c r="AF71" s="179">
        <f>IF(BG34="not applicable", X34, BG34)</f>
        <v>0</v>
      </c>
      <c r="AG71" s="179"/>
      <c r="AH71" s="179"/>
      <c r="AI71" s="179"/>
      <c r="AJ71" s="179"/>
      <c r="AK71" s="179"/>
      <c r="AL71" s="179"/>
      <c r="AM71" s="179"/>
      <c r="AN71" s="179"/>
      <c r="AO71" s="179"/>
      <c r="AS71" s="180" t="str">
        <f>IF(BG35="not applicable", "Existing CCTR:", "New CCTR:")</f>
        <v>Existing CCTR:</v>
      </c>
      <c r="AT71" s="180"/>
      <c r="AU71" s="180"/>
      <c r="AV71" s="180"/>
      <c r="AW71" s="180"/>
      <c r="AX71" s="180"/>
      <c r="AY71" s="180"/>
      <c r="AZ71" s="180"/>
      <c r="BA71" s="180"/>
      <c r="BB71" s="180"/>
      <c r="BC71" s="180"/>
      <c r="BD71" s="180"/>
      <c r="BE71" s="180"/>
      <c r="BF71" s="180"/>
      <c r="BG71" s="179">
        <f>IF(BG35="not applicable", X35, BG35)</f>
        <v>0</v>
      </c>
      <c r="BH71" s="179"/>
      <c r="BI71" s="179"/>
      <c r="BJ71" s="179"/>
      <c r="BK71" s="179"/>
      <c r="BL71" s="179"/>
      <c r="BM71" s="179"/>
      <c r="BN71" s="179"/>
      <c r="BO71" s="179"/>
      <c r="BS71" s="180" t="str">
        <f>IF(BG35="not applicable", "Existing MC:", "New MC:")</f>
        <v>Existing MC:</v>
      </c>
      <c r="BT71" s="180"/>
      <c r="BU71" s="180"/>
      <c r="BV71" s="180"/>
      <c r="BW71" s="180"/>
      <c r="BX71" s="180"/>
      <c r="BY71" s="180"/>
      <c r="BZ71" s="180"/>
      <c r="CA71" s="180"/>
      <c r="CB71" s="180"/>
      <c r="CC71" s="180"/>
      <c r="CD71" s="188" t="str">
        <f>IF(BG37="-", X37, BG37)</f>
        <v>-</v>
      </c>
      <c r="CE71" s="188"/>
      <c r="CF71" s="188" t="str">
        <f>IF(BM37="-", AD37, BM37)</f>
        <v>-</v>
      </c>
      <c r="CG71" s="188"/>
      <c r="CH71" s="188" t="str">
        <f>IF(BS37="-", AJ37, BS37)</f>
        <v>-</v>
      </c>
      <c r="CI71" s="188"/>
      <c r="CJ71" s="224" t="str">
        <f>IF(BY37="-", AP37, BY37)</f>
        <v>-</v>
      </c>
      <c r="CK71" s="225"/>
      <c r="CL71" s="224" t="str">
        <f>IF(CE37="-", AV37, CE37)</f>
        <v>-</v>
      </c>
      <c r="CM71" s="225"/>
      <c r="CN71" s="224" t="str">
        <f>IF(CK37="-", BB37, CK37)</f>
        <v>-</v>
      </c>
      <c r="CO71" s="225"/>
      <c r="DG71" s="68" t="str">
        <f>IF(BG34="not applicable", "Existing  MC", "New MC")</f>
        <v>Existing  MC</v>
      </c>
      <c r="DH71" s="68"/>
      <c r="DI71" s="68"/>
      <c r="DJ71" s="68"/>
      <c r="DK71" s="68"/>
      <c r="DL71" s="68"/>
      <c r="DM71" s="68"/>
      <c r="DN71" s="68"/>
      <c r="DO71" s="68"/>
      <c r="DP71" s="68"/>
      <c r="DQ71" s="68"/>
      <c r="DR71" s="68"/>
      <c r="DS71" s="68"/>
      <c r="DT71" s="68"/>
      <c r="DU71" s="68"/>
      <c r="DV71" s="68"/>
      <c r="DW71" s="68"/>
      <c r="DX71" s="68"/>
      <c r="DY71" s="68"/>
      <c r="DZ71" s="68"/>
      <c r="EA71" s="68"/>
    </row>
    <row r="72" spans="1:131" s="12" customFormat="1" ht="10" customHeight="1" x14ac:dyDescent="0.35"/>
    <row r="73" spans="1:131" s="12" customFormat="1" ht="16" customHeight="1" x14ac:dyDescent="0.35">
      <c r="A73" s="196" t="s">
        <v>168</v>
      </c>
      <c r="B73" s="196"/>
      <c r="C73" s="196"/>
      <c r="D73" s="196"/>
      <c r="E73" s="196"/>
      <c r="F73" s="196"/>
      <c r="G73" s="196"/>
      <c r="H73" s="196"/>
      <c r="I73" s="196"/>
      <c r="J73" s="196"/>
      <c r="K73" s="196"/>
      <c r="L73" s="196"/>
      <c r="M73" s="196"/>
      <c r="N73" s="196"/>
      <c r="O73" s="196"/>
      <c r="P73" s="196"/>
      <c r="Q73" s="196"/>
      <c r="R73" s="196"/>
      <c r="S73" s="196"/>
      <c r="T73" s="196"/>
      <c r="U73" s="196"/>
      <c r="V73" s="196"/>
      <c r="W73" s="196"/>
      <c r="X73" s="196"/>
      <c r="Y73" s="196"/>
      <c r="Z73" s="196"/>
      <c r="AA73" s="196"/>
      <c r="AB73" s="196"/>
      <c r="AC73" s="196"/>
      <c r="AD73" s="196"/>
      <c r="AE73" s="196"/>
      <c r="AF73" s="196"/>
      <c r="AG73" s="196"/>
      <c r="AH73" s="196"/>
      <c r="AI73" s="196"/>
      <c r="AJ73" s="196"/>
      <c r="AK73" s="196"/>
      <c r="AL73" s="196"/>
      <c r="AM73" s="196"/>
      <c r="AN73" s="196"/>
      <c r="AO73" s="196"/>
      <c r="AP73" s="196"/>
      <c r="AQ73" s="196"/>
      <c r="AR73" s="196"/>
      <c r="AS73" s="196"/>
      <c r="AT73" s="196"/>
      <c r="AU73" s="196"/>
      <c r="AV73" s="196"/>
      <c r="AW73" s="196"/>
      <c r="AX73" s="196"/>
      <c r="AY73" s="196"/>
      <c r="AZ73" s="196"/>
      <c r="BA73" s="196"/>
      <c r="BB73" s="196"/>
      <c r="BC73" s="196"/>
      <c r="BD73" s="196"/>
      <c r="BE73" s="196"/>
      <c r="BF73" s="196"/>
      <c r="BG73" s="196"/>
      <c r="BH73" s="196"/>
      <c r="BI73" s="196"/>
      <c r="BJ73" s="196"/>
      <c r="BK73" s="196"/>
      <c r="BL73" s="196"/>
      <c r="BM73" s="196"/>
      <c r="BN73" s="196"/>
      <c r="BO73" s="196"/>
      <c r="BP73" s="196"/>
      <c r="BQ73" s="196"/>
      <c r="BR73" s="196"/>
      <c r="BS73" s="196"/>
      <c r="BT73" s="196"/>
      <c r="BU73" s="196"/>
      <c r="BV73" s="196"/>
      <c r="BW73" s="196"/>
      <c r="BX73" s="196"/>
      <c r="BY73" s="196"/>
      <c r="BZ73" s="196"/>
      <c r="CA73" s="196"/>
      <c r="CB73" s="196"/>
      <c r="CC73" s="196"/>
      <c r="CD73" s="196"/>
      <c r="CE73" s="196"/>
      <c r="CF73" s="196"/>
      <c r="CG73" s="196"/>
      <c r="CH73" s="196"/>
      <c r="CI73" s="196"/>
      <c r="CJ73" s="196"/>
      <c r="CK73" s="196"/>
      <c r="CL73" s="196"/>
      <c r="CM73" s="196"/>
      <c r="CN73" s="196"/>
      <c r="CO73" s="196"/>
    </row>
    <row r="74" spans="1:131" s="12" customFormat="1" ht="21" customHeight="1" x14ac:dyDescent="0.35">
      <c r="A74" s="122" t="s">
        <v>133</v>
      </c>
      <c r="B74" s="122"/>
      <c r="C74" s="122"/>
      <c r="D74" s="122"/>
      <c r="E74" s="122"/>
      <c r="F74" s="122"/>
      <c r="G74" s="122"/>
      <c r="H74" s="122"/>
      <c r="I74" s="122"/>
      <c r="J74" s="122"/>
      <c r="K74" s="122"/>
      <c r="L74" s="122"/>
      <c r="M74" s="122"/>
      <c r="N74" s="122" t="s">
        <v>164</v>
      </c>
      <c r="O74" s="122"/>
      <c r="P74" s="122"/>
      <c r="Q74" s="122"/>
      <c r="R74" s="122"/>
      <c r="S74" s="122"/>
      <c r="T74" s="122"/>
      <c r="U74" s="122"/>
      <c r="V74" s="122"/>
      <c r="W74" s="122"/>
      <c r="X74" s="122"/>
      <c r="Y74" s="122"/>
      <c r="Z74" s="122"/>
      <c r="AA74" s="122"/>
      <c r="AB74" s="122"/>
      <c r="AC74" s="122"/>
      <c r="AD74" s="122"/>
      <c r="AE74" s="122"/>
      <c r="AF74" s="122"/>
      <c r="AG74" s="122"/>
      <c r="AH74" s="122"/>
      <c r="AI74" s="122"/>
      <c r="AJ74" s="122"/>
      <c r="AK74" s="122"/>
      <c r="AL74" s="122"/>
      <c r="AM74" s="122"/>
      <c r="AN74" s="122"/>
      <c r="AO74" s="122"/>
      <c r="AP74" s="122"/>
      <c r="AQ74" s="122"/>
      <c r="AR74" s="122"/>
      <c r="AS74" s="122"/>
      <c r="AT74" s="122"/>
      <c r="AU74" s="122"/>
      <c r="AV74" s="122"/>
      <c r="AW74" s="122"/>
      <c r="AX74" s="122"/>
      <c r="AY74" s="122"/>
      <c r="AZ74" s="122"/>
      <c r="BA74" s="122"/>
      <c r="BB74" s="122" t="s">
        <v>165</v>
      </c>
      <c r="BC74" s="122"/>
      <c r="BD74" s="122"/>
      <c r="BE74" s="122"/>
      <c r="BF74" s="122"/>
      <c r="BG74" s="122"/>
      <c r="BH74" s="122"/>
      <c r="BI74" s="122"/>
      <c r="BJ74" s="122"/>
      <c r="BK74" s="122"/>
      <c r="BL74" s="122"/>
      <c r="BM74" s="122"/>
      <c r="BN74" s="122"/>
      <c r="BO74" s="122"/>
      <c r="BP74" s="122"/>
      <c r="BQ74" s="122"/>
      <c r="BR74" s="122"/>
      <c r="BS74" s="122"/>
      <c r="BT74" s="122"/>
      <c r="BU74" s="122"/>
      <c r="BV74" s="122"/>
      <c r="BW74" s="122"/>
      <c r="BX74" s="122"/>
      <c r="BY74" s="122"/>
      <c r="BZ74" s="122"/>
      <c r="CA74" s="122"/>
      <c r="CB74" s="122"/>
      <c r="CC74" s="122"/>
      <c r="CD74" s="122"/>
      <c r="CE74" s="122"/>
      <c r="CF74" s="122"/>
      <c r="CG74" s="122"/>
      <c r="CH74" s="122"/>
      <c r="CI74" s="122"/>
      <c r="CJ74" s="122"/>
      <c r="CK74" s="122"/>
      <c r="CL74" s="122"/>
      <c r="CM74" s="122"/>
      <c r="CN74" s="122"/>
      <c r="CO74" s="122"/>
    </row>
    <row r="75" spans="1:131" s="12" customFormat="1" ht="21" customHeight="1" x14ac:dyDescent="0.35">
      <c r="A75" s="122"/>
      <c r="B75" s="122"/>
      <c r="C75" s="122"/>
      <c r="D75" s="122"/>
      <c r="E75" s="122"/>
      <c r="F75" s="122"/>
      <c r="G75" s="122"/>
      <c r="H75" s="122"/>
      <c r="I75" s="122"/>
      <c r="J75" s="122"/>
      <c r="K75" s="122"/>
      <c r="L75" s="122"/>
      <c r="M75" s="122"/>
      <c r="N75" s="189" t="s">
        <v>166</v>
      </c>
      <c r="O75" s="189"/>
      <c r="P75" s="189"/>
      <c r="Q75" s="189"/>
      <c r="R75" s="189"/>
      <c r="S75" s="189"/>
      <c r="T75" s="189"/>
      <c r="U75" s="189"/>
      <c r="V75" s="189"/>
      <c r="W75" s="189"/>
      <c r="X75" s="189"/>
      <c r="Y75" s="189"/>
      <c r="Z75" s="189"/>
      <c r="AA75" s="189"/>
      <c r="AB75" s="189"/>
      <c r="AC75" s="189"/>
      <c r="AD75" s="189"/>
      <c r="AE75" s="189"/>
      <c r="AF75" s="189"/>
      <c r="AG75" s="189"/>
      <c r="AH75" s="189" t="s">
        <v>167</v>
      </c>
      <c r="AI75" s="189"/>
      <c r="AJ75" s="189"/>
      <c r="AK75" s="189"/>
      <c r="AL75" s="189"/>
      <c r="AM75" s="189"/>
      <c r="AN75" s="189"/>
      <c r="AO75" s="189"/>
      <c r="AP75" s="189"/>
      <c r="AQ75" s="189"/>
      <c r="AR75" s="189"/>
      <c r="AS75" s="189"/>
      <c r="AT75" s="189"/>
      <c r="AU75" s="189"/>
      <c r="AV75" s="189"/>
      <c r="AW75" s="189"/>
      <c r="AX75" s="189"/>
      <c r="AY75" s="189"/>
      <c r="AZ75" s="189"/>
      <c r="BA75" s="189"/>
      <c r="BB75" s="189" t="s">
        <v>166</v>
      </c>
      <c r="BC75" s="189"/>
      <c r="BD75" s="189"/>
      <c r="BE75" s="189"/>
      <c r="BF75" s="189"/>
      <c r="BG75" s="189"/>
      <c r="BH75" s="189"/>
      <c r="BI75" s="189"/>
      <c r="BJ75" s="189"/>
      <c r="BK75" s="189"/>
      <c r="BL75" s="189"/>
      <c r="BM75" s="189"/>
      <c r="BN75" s="189"/>
      <c r="BO75" s="189"/>
      <c r="BP75" s="189"/>
      <c r="BQ75" s="189"/>
      <c r="BR75" s="189"/>
      <c r="BS75" s="189"/>
      <c r="BT75" s="189"/>
      <c r="BU75" s="189"/>
      <c r="BV75" s="189" t="s">
        <v>167</v>
      </c>
      <c r="BW75" s="189"/>
      <c r="BX75" s="189"/>
      <c r="BY75" s="189"/>
      <c r="BZ75" s="189"/>
      <c r="CA75" s="189"/>
      <c r="CB75" s="189"/>
      <c r="CC75" s="189"/>
      <c r="CD75" s="189"/>
      <c r="CE75" s="189"/>
      <c r="CF75" s="189"/>
      <c r="CG75" s="189"/>
      <c r="CH75" s="189"/>
      <c r="CI75" s="189"/>
      <c r="CJ75" s="189"/>
      <c r="CK75" s="189"/>
      <c r="CL75" s="189"/>
      <c r="CM75" s="189"/>
      <c r="CN75" s="189"/>
      <c r="CO75" s="189"/>
    </row>
    <row r="76" spans="1:131" s="12" customFormat="1" ht="21" customHeight="1" x14ac:dyDescent="0.35">
      <c r="A76" s="122"/>
      <c r="B76" s="122"/>
      <c r="C76" s="122"/>
      <c r="D76" s="122"/>
      <c r="E76" s="122"/>
      <c r="F76" s="122"/>
      <c r="G76" s="122"/>
      <c r="H76" s="122"/>
      <c r="I76" s="122"/>
      <c r="J76" s="122"/>
      <c r="K76" s="122"/>
      <c r="L76" s="122"/>
      <c r="M76" s="122"/>
      <c r="N76" s="189" t="s">
        <v>67</v>
      </c>
      <c r="O76" s="189"/>
      <c r="P76" s="189"/>
      <c r="Q76" s="189"/>
      <c r="R76" s="189"/>
      <c r="S76" s="189"/>
      <c r="T76" s="189"/>
      <c r="U76" s="189"/>
      <c r="V76" s="189"/>
      <c r="W76" s="189"/>
      <c r="X76" s="189" t="s">
        <v>68</v>
      </c>
      <c r="Y76" s="189"/>
      <c r="Z76" s="189"/>
      <c r="AA76" s="189"/>
      <c r="AB76" s="189"/>
      <c r="AC76" s="189"/>
      <c r="AD76" s="189"/>
      <c r="AE76" s="189"/>
      <c r="AF76" s="189"/>
      <c r="AG76" s="189"/>
      <c r="AH76" s="189" t="s">
        <v>67</v>
      </c>
      <c r="AI76" s="189"/>
      <c r="AJ76" s="189"/>
      <c r="AK76" s="189"/>
      <c r="AL76" s="189"/>
      <c r="AM76" s="189"/>
      <c r="AN76" s="189"/>
      <c r="AO76" s="189"/>
      <c r="AP76" s="189"/>
      <c r="AQ76" s="189"/>
      <c r="AR76" s="189" t="s">
        <v>68</v>
      </c>
      <c r="AS76" s="189"/>
      <c r="AT76" s="189"/>
      <c r="AU76" s="189"/>
      <c r="AV76" s="189"/>
      <c r="AW76" s="189"/>
      <c r="AX76" s="189"/>
      <c r="AY76" s="189"/>
      <c r="AZ76" s="189"/>
      <c r="BA76" s="189"/>
      <c r="BB76" s="189" t="s">
        <v>67</v>
      </c>
      <c r="BC76" s="189"/>
      <c r="BD76" s="189"/>
      <c r="BE76" s="189"/>
      <c r="BF76" s="189"/>
      <c r="BG76" s="189"/>
      <c r="BH76" s="189"/>
      <c r="BI76" s="189"/>
      <c r="BJ76" s="189"/>
      <c r="BK76" s="189"/>
      <c r="BL76" s="189" t="s">
        <v>68</v>
      </c>
      <c r="BM76" s="189"/>
      <c r="BN76" s="189"/>
      <c r="BO76" s="189"/>
      <c r="BP76" s="189"/>
      <c r="BQ76" s="189"/>
      <c r="BR76" s="189"/>
      <c r="BS76" s="189"/>
      <c r="BT76" s="189"/>
      <c r="BU76" s="189"/>
      <c r="BV76" s="189" t="s">
        <v>67</v>
      </c>
      <c r="BW76" s="189"/>
      <c r="BX76" s="189"/>
      <c r="BY76" s="189"/>
      <c r="BZ76" s="189"/>
      <c r="CA76" s="189"/>
      <c r="CB76" s="189"/>
      <c r="CC76" s="189"/>
      <c r="CD76" s="189"/>
      <c r="CE76" s="189"/>
      <c r="CF76" s="189" t="s">
        <v>68</v>
      </c>
      <c r="CG76" s="189"/>
      <c r="CH76" s="189"/>
      <c r="CI76" s="189"/>
      <c r="CJ76" s="189"/>
      <c r="CK76" s="189"/>
      <c r="CL76" s="189"/>
      <c r="CM76" s="189"/>
      <c r="CN76" s="189"/>
      <c r="CO76" s="189"/>
    </row>
    <row r="77" spans="1:131" s="12" customFormat="1" ht="21" customHeight="1" x14ac:dyDescent="0.35">
      <c r="A77" s="135" t="s">
        <v>163</v>
      </c>
      <c r="B77" s="135"/>
      <c r="C77" s="135"/>
      <c r="D77" s="135"/>
      <c r="E77" s="135"/>
      <c r="F77" s="135"/>
      <c r="G77" s="135"/>
      <c r="H77" s="135"/>
      <c r="I77" s="135"/>
      <c r="J77" s="135"/>
      <c r="K77" s="135"/>
      <c r="L77" s="135"/>
      <c r="M77" s="135"/>
      <c r="N77" s="182"/>
      <c r="O77" s="183"/>
      <c r="P77" s="183"/>
      <c r="Q77" s="183"/>
      <c r="R77" s="183"/>
      <c r="S77" s="183"/>
      <c r="T77" s="183"/>
      <c r="U77" s="183"/>
      <c r="V77" s="183"/>
      <c r="W77" s="183"/>
      <c r="X77" s="183"/>
      <c r="Y77" s="183"/>
      <c r="Z77" s="183"/>
      <c r="AA77" s="183"/>
      <c r="AB77" s="183"/>
      <c r="AC77" s="183"/>
      <c r="AD77" s="183"/>
      <c r="AE77" s="183"/>
      <c r="AF77" s="183"/>
      <c r="AG77" s="184"/>
      <c r="AH77" s="182"/>
      <c r="AI77" s="183"/>
      <c r="AJ77" s="183"/>
      <c r="AK77" s="183"/>
      <c r="AL77" s="183"/>
      <c r="AM77" s="183"/>
      <c r="AN77" s="183"/>
      <c r="AO77" s="183"/>
      <c r="AP77" s="183"/>
      <c r="AQ77" s="183"/>
      <c r="AR77" s="183"/>
      <c r="AS77" s="183"/>
      <c r="AT77" s="183"/>
      <c r="AU77" s="183"/>
      <c r="AV77" s="183"/>
      <c r="AW77" s="183"/>
      <c r="AX77" s="183"/>
      <c r="AY77" s="183"/>
      <c r="AZ77" s="183"/>
      <c r="BA77" s="184"/>
      <c r="BB77" s="182"/>
      <c r="BC77" s="183"/>
      <c r="BD77" s="183"/>
      <c r="BE77" s="183"/>
      <c r="BF77" s="183"/>
      <c r="BG77" s="183"/>
      <c r="BH77" s="183"/>
      <c r="BI77" s="183"/>
      <c r="BJ77" s="183"/>
      <c r="BK77" s="183"/>
      <c r="BL77" s="183"/>
      <c r="BM77" s="183"/>
      <c r="BN77" s="183"/>
      <c r="BO77" s="183"/>
      <c r="BP77" s="183"/>
      <c r="BQ77" s="183"/>
      <c r="BR77" s="183"/>
      <c r="BS77" s="183"/>
      <c r="BT77" s="183"/>
      <c r="BU77" s="184"/>
      <c r="BV77" s="182"/>
      <c r="BW77" s="183"/>
      <c r="BX77" s="183"/>
      <c r="BY77" s="183"/>
      <c r="BZ77" s="183"/>
      <c r="CA77" s="183"/>
      <c r="CB77" s="183"/>
      <c r="CC77" s="183"/>
      <c r="CD77" s="183"/>
      <c r="CE77" s="183"/>
      <c r="CF77" s="183"/>
      <c r="CG77" s="183"/>
      <c r="CH77" s="183"/>
      <c r="CI77" s="183"/>
      <c r="CJ77" s="183"/>
      <c r="CK77" s="183"/>
      <c r="CL77" s="183"/>
      <c r="CM77" s="183"/>
      <c r="CN77" s="183"/>
      <c r="CO77" s="184"/>
    </row>
    <row r="78" spans="1:131" s="12" customFormat="1" ht="21" customHeight="1" x14ac:dyDescent="0.35">
      <c r="A78" s="135" t="s">
        <v>90</v>
      </c>
      <c r="B78" s="135"/>
      <c r="C78" s="135"/>
      <c r="D78" s="135"/>
      <c r="E78" s="135"/>
      <c r="F78" s="135"/>
      <c r="G78" s="135"/>
      <c r="H78" s="135"/>
      <c r="I78" s="135"/>
      <c r="J78" s="135"/>
      <c r="K78" s="135"/>
      <c r="L78" s="135"/>
      <c r="M78" s="135"/>
      <c r="N78" s="185"/>
      <c r="O78" s="186"/>
      <c r="P78" s="186"/>
      <c r="Q78" s="186"/>
      <c r="R78" s="186"/>
      <c r="S78" s="186"/>
      <c r="T78" s="186"/>
      <c r="U78" s="186"/>
      <c r="V78" s="186"/>
      <c r="W78" s="186"/>
      <c r="X78" s="186"/>
      <c r="Y78" s="186"/>
      <c r="Z78" s="186"/>
      <c r="AA78" s="186"/>
      <c r="AB78" s="186"/>
      <c r="AC78" s="186"/>
      <c r="AD78" s="186"/>
      <c r="AE78" s="186"/>
      <c r="AF78" s="186"/>
      <c r="AG78" s="187"/>
      <c r="AH78" s="185"/>
      <c r="AI78" s="186"/>
      <c r="AJ78" s="186"/>
      <c r="AK78" s="186"/>
      <c r="AL78" s="186"/>
      <c r="AM78" s="186"/>
      <c r="AN78" s="186"/>
      <c r="AO78" s="186"/>
      <c r="AP78" s="186"/>
      <c r="AQ78" s="186"/>
      <c r="AR78" s="186"/>
      <c r="AS78" s="186"/>
      <c r="AT78" s="186"/>
      <c r="AU78" s="186"/>
      <c r="AV78" s="186"/>
      <c r="AW78" s="186"/>
      <c r="AX78" s="186"/>
      <c r="AY78" s="186"/>
      <c r="AZ78" s="186"/>
      <c r="BA78" s="187"/>
      <c r="BB78" s="185"/>
      <c r="BC78" s="186"/>
      <c r="BD78" s="186"/>
      <c r="BE78" s="186"/>
      <c r="BF78" s="186"/>
      <c r="BG78" s="186"/>
      <c r="BH78" s="186"/>
      <c r="BI78" s="186"/>
      <c r="BJ78" s="186"/>
      <c r="BK78" s="186"/>
      <c r="BL78" s="186"/>
      <c r="BM78" s="186"/>
      <c r="BN78" s="186"/>
      <c r="BO78" s="186"/>
      <c r="BP78" s="186"/>
      <c r="BQ78" s="186"/>
      <c r="BR78" s="186"/>
      <c r="BS78" s="186"/>
      <c r="BT78" s="186"/>
      <c r="BU78" s="187"/>
      <c r="BV78" s="185"/>
      <c r="BW78" s="186"/>
      <c r="BX78" s="186"/>
      <c r="BY78" s="186"/>
      <c r="BZ78" s="186"/>
      <c r="CA78" s="186"/>
      <c r="CB78" s="186"/>
      <c r="CC78" s="186"/>
      <c r="CD78" s="186"/>
      <c r="CE78" s="186"/>
      <c r="CF78" s="186"/>
      <c r="CG78" s="186"/>
      <c r="CH78" s="186"/>
      <c r="CI78" s="186"/>
      <c r="CJ78" s="186"/>
      <c r="CK78" s="186"/>
      <c r="CL78" s="186"/>
      <c r="CM78" s="186"/>
      <c r="CN78" s="186"/>
      <c r="CO78" s="187"/>
    </row>
    <row r="79" spans="1:131" s="12" customFormat="1" ht="21" customHeight="1" x14ac:dyDescent="0.35">
      <c r="A79" s="135" t="s">
        <v>147</v>
      </c>
      <c r="B79" s="135"/>
      <c r="C79" s="135"/>
      <c r="D79" s="135"/>
      <c r="E79" s="135"/>
      <c r="F79" s="135"/>
      <c r="G79" s="135"/>
      <c r="H79" s="135"/>
      <c r="I79" s="135"/>
      <c r="J79" s="135"/>
      <c r="K79" s="135"/>
      <c r="L79" s="135"/>
      <c r="M79" s="135"/>
      <c r="N79" s="210"/>
      <c r="O79" s="210"/>
      <c r="P79" s="210"/>
      <c r="Q79" s="210"/>
      <c r="R79" s="210"/>
      <c r="S79" s="210"/>
      <c r="T79" s="210"/>
      <c r="U79" s="210"/>
      <c r="V79" s="210"/>
      <c r="W79" s="210"/>
      <c r="X79" s="210" t="s">
        <v>207</v>
      </c>
      <c r="Y79" s="210"/>
      <c r="Z79" s="210"/>
      <c r="AA79" s="210"/>
      <c r="AB79" s="210"/>
      <c r="AC79" s="210"/>
      <c r="AD79" s="210"/>
      <c r="AE79" s="210"/>
      <c r="AF79" s="210"/>
      <c r="AG79" s="210"/>
      <c r="AH79" s="210"/>
      <c r="AI79" s="210"/>
      <c r="AJ79" s="210"/>
      <c r="AK79" s="210"/>
      <c r="AL79" s="210"/>
      <c r="AM79" s="210"/>
      <c r="AN79" s="210"/>
      <c r="AO79" s="210"/>
      <c r="AP79" s="210"/>
      <c r="AQ79" s="210"/>
      <c r="AR79" s="210"/>
      <c r="AS79" s="210"/>
      <c r="AT79" s="210"/>
      <c r="AU79" s="210"/>
      <c r="AV79" s="210"/>
      <c r="AW79" s="210"/>
      <c r="AX79" s="210"/>
      <c r="AY79" s="210"/>
      <c r="AZ79" s="210"/>
      <c r="BA79" s="210"/>
      <c r="BB79" s="210"/>
      <c r="BC79" s="210"/>
      <c r="BD79" s="210"/>
      <c r="BE79" s="210"/>
      <c r="BF79" s="210"/>
      <c r="BG79" s="210"/>
      <c r="BH79" s="210"/>
      <c r="BI79" s="210"/>
      <c r="BJ79" s="210"/>
      <c r="BK79" s="210"/>
      <c r="BL79" s="210"/>
      <c r="BM79" s="210"/>
      <c r="BN79" s="210"/>
      <c r="BO79" s="210"/>
      <c r="BP79" s="210"/>
      <c r="BQ79" s="210"/>
      <c r="BR79" s="210"/>
      <c r="BS79" s="210"/>
      <c r="BT79" s="210"/>
      <c r="BU79" s="210"/>
      <c r="BV79" s="210"/>
      <c r="BW79" s="210"/>
      <c r="BX79" s="210"/>
      <c r="BY79" s="210"/>
      <c r="BZ79" s="210"/>
      <c r="CA79" s="210"/>
      <c r="CB79" s="210"/>
      <c r="CC79" s="210"/>
      <c r="CD79" s="210"/>
      <c r="CE79" s="210"/>
      <c r="CF79" s="210"/>
      <c r="CG79" s="210"/>
      <c r="CH79" s="210"/>
      <c r="CI79" s="210"/>
      <c r="CJ79" s="210"/>
      <c r="CK79" s="210"/>
      <c r="CL79" s="210"/>
      <c r="CM79" s="210"/>
      <c r="CN79" s="210"/>
      <c r="CO79" s="210"/>
    </row>
    <row r="80" spans="1:131" s="12" customFormat="1" ht="21" customHeight="1" x14ac:dyDescent="0.35">
      <c r="A80" s="135" t="s">
        <v>148</v>
      </c>
      <c r="B80" s="135"/>
      <c r="C80" s="135"/>
      <c r="D80" s="135"/>
      <c r="E80" s="135"/>
      <c r="F80" s="135"/>
      <c r="G80" s="135"/>
      <c r="H80" s="135"/>
      <c r="I80" s="135"/>
      <c r="J80" s="135"/>
      <c r="K80" s="135"/>
      <c r="L80" s="135"/>
      <c r="M80" s="135"/>
      <c r="N80" s="211"/>
      <c r="O80" s="211"/>
      <c r="P80" s="211"/>
      <c r="Q80" s="211"/>
      <c r="R80" s="211"/>
      <c r="S80" s="211"/>
      <c r="T80" s="211"/>
      <c r="U80" s="211"/>
      <c r="V80" s="211"/>
      <c r="W80" s="211"/>
      <c r="X80" s="211" t="s">
        <v>207</v>
      </c>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row>
    <row r="81" spans="1:108" s="12" customFormat="1" ht="21" customHeight="1" x14ac:dyDescent="0.35">
      <c r="A81" s="135" t="s">
        <v>134</v>
      </c>
      <c r="B81" s="135"/>
      <c r="C81" s="135"/>
      <c r="D81" s="135"/>
      <c r="E81" s="135"/>
      <c r="F81" s="135"/>
      <c r="G81" s="135"/>
      <c r="H81" s="135"/>
      <c r="I81" s="135"/>
      <c r="J81" s="135"/>
      <c r="K81" s="135"/>
      <c r="L81" s="135"/>
      <c r="M81" s="135"/>
      <c r="N81" s="212"/>
      <c r="O81" s="212"/>
      <c r="P81" s="212"/>
      <c r="Q81" s="212"/>
      <c r="R81" s="212"/>
      <c r="S81" s="212"/>
      <c r="T81" s="212"/>
      <c r="U81" s="212"/>
      <c r="V81" s="212"/>
      <c r="W81" s="212"/>
      <c r="X81" s="190" t="s">
        <v>207</v>
      </c>
      <c r="Y81" s="190"/>
      <c r="Z81" s="190"/>
      <c r="AA81" s="190"/>
      <c r="AB81" s="190"/>
      <c r="AC81" s="190"/>
      <c r="AD81" s="190"/>
      <c r="AE81" s="190"/>
      <c r="AF81" s="190"/>
      <c r="AG81" s="190"/>
      <c r="AH81" s="190"/>
      <c r="AI81" s="190"/>
      <c r="AJ81" s="190"/>
      <c r="AK81" s="190"/>
      <c r="AL81" s="190"/>
      <c r="AM81" s="190"/>
      <c r="AN81" s="190"/>
      <c r="AO81" s="190"/>
      <c r="AP81" s="190"/>
      <c r="AQ81" s="190"/>
      <c r="AR81" s="190"/>
      <c r="AS81" s="190"/>
      <c r="AT81" s="190"/>
      <c r="AU81" s="190"/>
      <c r="AV81" s="190"/>
      <c r="AW81" s="190"/>
      <c r="AX81" s="190"/>
      <c r="AY81" s="190"/>
      <c r="AZ81" s="190"/>
      <c r="BA81" s="190"/>
      <c r="BB81" s="190"/>
      <c r="BC81" s="190"/>
      <c r="BD81" s="190"/>
      <c r="BE81" s="190"/>
      <c r="BF81" s="190"/>
      <c r="BG81" s="190"/>
      <c r="BH81" s="190"/>
      <c r="BI81" s="190"/>
      <c r="BJ81" s="190"/>
      <c r="BK81" s="190"/>
      <c r="BL81" s="190"/>
      <c r="BM81" s="190"/>
      <c r="BN81" s="190"/>
      <c r="BO81" s="190"/>
      <c r="BP81" s="190"/>
      <c r="BQ81" s="190"/>
      <c r="BR81" s="190"/>
      <c r="BS81" s="190"/>
      <c r="BT81" s="190"/>
      <c r="BU81" s="190"/>
      <c r="BV81" s="190"/>
      <c r="BW81" s="190"/>
      <c r="BX81" s="190"/>
      <c r="BY81" s="190"/>
      <c r="BZ81" s="190"/>
      <c r="CA81" s="190"/>
      <c r="CB81" s="190"/>
      <c r="CC81" s="190"/>
      <c r="CD81" s="190"/>
      <c r="CE81" s="190"/>
      <c r="CF81" s="190"/>
      <c r="CG81" s="190"/>
      <c r="CH81" s="190"/>
      <c r="CI81" s="190"/>
      <c r="CJ81" s="190"/>
      <c r="CK81" s="190"/>
      <c r="CL81" s="190"/>
      <c r="CM81" s="190"/>
      <c r="CN81" s="190"/>
      <c r="CO81" s="190"/>
      <c r="CS81" s="258"/>
      <c r="CT81" s="259"/>
      <c r="CU81" s="259"/>
      <c r="CV81" s="259"/>
      <c r="CW81" s="259"/>
      <c r="CX81" s="259"/>
      <c r="CY81" s="259"/>
      <c r="CZ81" s="259"/>
      <c r="DA81" s="259"/>
      <c r="DB81" s="259"/>
      <c r="DC81" s="259"/>
      <c r="DD81" s="259"/>
    </row>
    <row r="82" spans="1:108" s="12" customFormat="1" ht="21" customHeight="1" x14ac:dyDescent="0.35">
      <c r="A82" s="135" t="s">
        <v>135</v>
      </c>
      <c r="B82" s="135"/>
      <c r="C82" s="135"/>
      <c r="D82" s="135"/>
      <c r="E82" s="135"/>
      <c r="F82" s="135"/>
      <c r="G82" s="135"/>
      <c r="H82" s="135"/>
      <c r="I82" s="135"/>
      <c r="J82" s="135"/>
      <c r="K82" s="135"/>
      <c r="L82" s="135"/>
      <c r="M82" s="135"/>
      <c r="N82" s="190"/>
      <c r="O82" s="190"/>
      <c r="P82" s="190"/>
      <c r="Q82" s="190"/>
      <c r="R82" s="190"/>
      <c r="S82" s="190"/>
      <c r="T82" s="190"/>
      <c r="U82" s="190"/>
      <c r="V82" s="190"/>
      <c r="W82" s="190"/>
      <c r="X82" s="190" t="s">
        <v>207</v>
      </c>
      <c r="Y82" s="190"/>
      <c r="Z82" s="190"/>
      <c r="AA82" s="190"/>
      <c r="AB82" s="190"/>
      <c r="AC82" s="190"/>
      <c r="AD82" s="190"/>
      <c r="AE82" s="190"/>
      <c r="AF82" s="190"/>
      <c r="AG82" s="190"/>
      <c r="AH82" s="190"/>
      <c r="AI82" s="190"/>
      <c r="AJ82" s="190"/>
      <c r="AK82" s="190"/>
      <c r="AL82" s="190"/>
      <c r="AM82" s="190"/>
      <c r="AN82" s="190"/>
      <c r="AO82" s="190"/>
      <c r="AP82" s="190"/>
      <c r="AQ82" s="190"/>
      <c r="AR82" s="190"/>
      <c r="AS82" s="190"/>
      <c r="AT82" s="190"/>
      <c r="AU82" s="190"/>
      <c r="AV82" s="190"/>
      <c r="AW82" s="190"/>
      <c r="AX82" s="190"/>
      <c r="AY82" s="190"/>
      <c r="AZ82" s="190"/>
      <c r="BA82" s="190"/>
      <c r="BB82" s="190"/>
      <c r="BC82" s="190"/>
      <c r="BD82" s="190"/>
      <c r="BE82" s="190"/>
      <c r="BF82" s="190"/>
      <c r="BG82" s="190"/>
      <c r="BH82" s="190"/>
      <c r="BI82" s="190"/>
      <c r="BJ82" s="190"/>
      <c r="BK82" s="190"/>
      <c r="BL82" s="190"/>
      <c r="BM82" s="190"/>
      <c r="BN82" s="190"/>
      <c r="BO82" s="190"/>
      <c r="BP82" s="190"/>
      <c r="BQ82" s="190"/>
      <c r="BR82" s="190"/>
      <c r="BS82" s="190"/>
      <c r="BT82" s="190"/>
      <c r="BU82" s="190"/>
      <c r="BV82" s="190"/>
      <c r="BW82" s="190"/>
      <c r="BX82" s="190"/>
      <c r="BY82" s="190"/>
      <c r="BZ82" s="190"/>
      <c r="CA82" s="190"/>
      <c r="CB82" s="190"/>
      <c r="CC82" s="190"/>
      <c r="CD82" s="190"/>
      <c r="CE82" s="190"/>
      <c r="CF82" s="190"/>
      <c r="CG82" s="190"/>
      <c r="CH82" s="190"/>
      <c r="CI82" s="190"/>
      <c r="CJ82" s="190"/>
      <c r="CK82" s="190"/>
      <c r="CL82" s="190"/>
      <c r="CM82" s="190"/>
      <c r="CN82" s="190"/>
      <c r="CO82" s="190"/>
    </row>
    <row r="83" spans="1:108" s="12" customFormat="1" ht="21" customHeight="1" x14ac:dyDescent="0.35">
      <c r="A83" s="135" t="s">
        <v>136</v>
      </c>
      <c r="B83" s="135"/>
      <c r="C83" s="135"/>
      <c r="D83" s="135"/>
      <c r="E83" s="135"/>
      <c r="F83" s="135"/>
      <c r="G83" s="135"/>
      <c r="H83" s="135"/>
      <c r="I83" s="135"/>
      <c r="J83" s="135"/>
      <c r="K83" s="135"/>
      <c r="L83" s="135"/>
      <c r="M83" s="135"/>
      <c r="N83" s="190"/>
      <c r="O83" s="190"/>
      <c r="P83" s="190"/>
      <c r="Q83" s="190"/>
      <c r="R83" s="190"/>
      <c r="S83" s="190"/>
      <c r="T83" s="190"/>
      <c r="U83" s="190"/>
      <c r="V83" s="190"/>
      <c r="W83" s="190"/>
      <c r="X83" s="190" t="s">
        <v>207</v>
      </c>
      <c r="Y83" s="190"/>
      <c r="Z83" s="190"/>
      <c r="AA83" s="190"/>
      <c r="AB83" s="190"/>
      <c r="AC83" s="190"/>
      <c r="AD83" s="190"/>
      <c r="AE83" s="190"/>
      <c r="AF83" s="190"/>
      <c r="AG83" s="190"/>
      <c r="AH83" s="190"/>
      <c r="AI83" s="190"/>
      <c r="AJ83" s="190"/>
      <c r="AK83" s="190"/>
      <c r="AL83" s="190"/>
      <c r="AM83" s="190"/>
      <c r="AN83" s="190"/>
      <c r="AO83" s="190"/>
      <c r="AP83" s="190"/>
      <c r="AQ83" s="190"/>
      <c r="AR83" s="190"/>
      <c r="AS83" s="190"/>
      <c r="AT83" s="190"/>
      <c r="AU83" s="190"/>
      <c r="AV83" s="190"/>
      <c r="AW83" s="190"/>
      <c r="AX83" s="190"/>
      <c r="AY83" s="190"/>
      <c r="AZ83" s="190"/>
      <c r="BA83" s="190"/>
      <c r="BB83" s="190"/>
      <c r="BC83" s="190"/>
      <c r="BD83" s="190"/>
      <c r="BE83" s="190"/>
      <c r="BF83" s="190"/>
      <c r="BG83" s="190"/>
      <c r="BH83" s="190"/>
      <c r="BI83" s="190"/>
      <c r="BJ83" s="190"/>
      <c r="BK83" s="190"/>
      <c r="BL83" s="190"/>
      <c r="BM83" s="190"/>
      <c r="BN83" s="190"/>
      <c r="BO83" s="190"/>
      <c r="BP83" s="190"/>
      <c r="BQ83" s="190"/>
      <c r="BR83" s="190"/>
      <c r="BS83" s="190"/>
      <c r="BT83" s="190"/>
      <c r="BU83" s="190"/>
      <c r="BV83" s="190"/>
      <c r="BW83" s="190"/>
      <c r="BX83" s="190"/>
      <c r="BY83" s="190"/>
      <c r="BZ83" s="190"/>
      <c r="CA83" s="190"/>
      <c r="CB83" s="190"/>
      <c r="CC83" s="190"/>
      <c r="CD83" s="190"/>
      <c r="CE83" s="190"/>
      <c r="CF83" s="190"/>
      <c r="CG83" s="190"/>
      <c r="CH83" s="190"/>
      <c r="CI83" s="190"/>
      <c r="CJ83" s="190"/>
      <c r="CK83" s="190"/>
      <c r="CL83" s="190"/>
      <c r="CM83" s="190"/>
      <c r="CN83" s="190"/>
      <c r="CO83" s="190"/>
    </row>
    <row r="84" spans="1:108" s="12" customFormat="1" ht="21" customHeight="1" x14ac:dyDescent="0.35">
      <c r="A84" s="135" t="s">
        <v>137</v>
      </c>
      <c r="B84" s="135"/>
      <c r="C84" s="135"/>
      <c r="D84" s="135"/>
      <c r="E84" s="135"/>
      <c r="F84" s="135"/>
      <c r="G84" s="135"/>
      <c r="H84" s="135"/>
      <c r="I84" s="135"/>
      <c r="J84" s="135"/>
      <c r="K84" s="135"/>
      <c r="L84" s="135"/>
      <c r="M84" s="135"/>
      <c r="N84" s="190"/>
      <c r="O84" s="190"/>
      <c r="P84" s="190"/>
      <c r="Q84" s="190"/>
      <c r="R84" s="190"/>
      <c r="S84" s="190"/>
      <c r="T84" s="190"/>
      <c r="U84" s="190"/>
      <c r="V84" s="190"/>
      <c r="W84" s="190"/>
      <c r="X84" s="190" t="s">
        <v>207</v>
      </c>
      <c r="Y84" s="190"/>
      <c r="Z84" s="190"/>
      <c r="AA84" s="190"/>
      <c r="AB84" s="190"/>
      <c r="AC84" s="190"/>
      <c r="AD84" s="190"/>
      <c r="AE84" s="190"/>
      <c r="AF84" s="190"/>
      <c r="AG84" s="190"/>
      <c r="AH84" s="190"/>
      <c r="AI84" s="190"/>
      <c r="AJ84" s="190"/>
      <c r="AK84" s="190"/>
      <c r="AL84" s="190"/>
      <c r="AM84" s="190"/>
      <c r="AN84" s="190"/>
      <c r="AO84" s="190"/>
      <c r="AP84" s="190"/>
      <c r="AQ84" s="190"/>
      <c r="AR84" s="190"/>
      <c r="AS84" s="190"/>
      <c r="AT84" s="190"/>
      <c r="AU84" s="190"/>
      <c r="AV84" s="190"/>
      <c r="AW84" s="190"/>
      <c r="AX84" s="190"/>
      <c r="AY84" s="190"/>
      <c r="AZ84" s="190"/>
      <c r="BA84" s="190"/>
      <c r="BB84" s="190"/>
      <c r="BC84" s="190"/>
      <c r="BD84" s="190"/>
      <c r="BE84" s="190"/>
      <c r="BF84" s="190"/>
      <c r="BG84" s="190"/>
      <c r="BH84" s="190"/>
      <c r="BI84" s="190"/>
      <c r="BJ84" s="190"/>
      <c r="BK84" s="190"/>
      <c r="BL84" s="190"/>
      <c r="BM84" s="190"/>
      <c r="BN84" s="190"/>
      <c r="BO84" s="190"/>
      <c r="BP84" s="190"/>
      <c r="BQ84" s="190"/>
      <c r="BR84" s="190"/>
      <c r="BS84" s="190"/>
      <c r="BT84" s="190"/>
      <c r="BU84" s="190"/>
      <c r="BV84" s="190"/>
      <c r="BW84" s="190"/>
      <c r="BX84" s="190"/>
      <c r="BY84" s="190"/>
      <c r="BZ84" s="190"/>
      <c r="CA84" s="190"/>
      <c r="CB84" s="190"/>
      <c r="CC84" s="190"/>
      <c r="CD84" s="190"/>
      <c r="CE84" s="190"/>
      <c r="CF84" s="190"/>
      <c r="CG84" s="190"/>
      <c r="CH84" s="190"/>
      <c r="CI84" s="190"/>
      <c r="CJ84" s="190"/>
      <c r="CK84" s="190"/>
      <c r="CL84" s="190"/>
      <c r="CM84" s="190"/>
      <c r="CN84" s="190"/>
      <c r="CO84" s="190"/>
    </row>
    <row r="85" spans="1:108" s="12" customFormat="1" ht="21" customHeight="1" x14ac:dyDescent="0.35">
      <c r="A85" s="135" t="s">
        <v>149</v>
      </c>
      <c r="B85" s="135"/>
      <c r="C85" s="135"/>
      <c r="D85" s="135"/>
      <c r="E85" s="135"/>
      <c r="F85" s="135"/>
      <c r="G85" s="135"/>
      <c r="H85" s="135"/>
      <c r="I85" s="135"/>
      <c r="J85" s="135"/>
      <c r="K85" s="135"/>
      <c r="L85" s="135"/>
      <c r="M85" s="135"/>
      <c r="N85" s="190"/>
      <c r="O85" s="190"/>
      <c r="P85" s="190"/>
      <c r="Q85" s="190"/>
      <c r="R85" s="190"/>
      <c r="S85" s="190"/>
      <c r="T85" s="190"/>
      <c r="U85" s="190"/>
      <c r="V85" s="190"/>
      <c r="W85" s="190"/>
      <c r="X85" s="190" t="s">
        <v>207</v>
      </c>
      <c r="Y85" s="190"/>
      <c r="Z85" s="190"/>
      <c r="AA85" s="190"/>
      <c r="AB85" s="190"/>
      <c r="AC85" s="190"/>
      <c r="AD85" s="190"/>
      <c r="AE85" s="190"/>
      <c r="AF85" s="190"/>
      <c r="AG85" s="190"/>
      <c r="AH85" s="190"/>
      <c r="AI85" s="190"/>
      <c r="AJ85" s="190"/>
      <c r="AK85" s="190"/>
      <c r="AL85" s="190"/>
      <c r="AM85" s="190"/>
      <c r="AN85" s="190"/>
      <c r="AO85" s="190"/>
      <c r="AP85" s="190"/>
      <c r="AQ85" s="190"/>
      <c r="AR85" s="190"/>
      <c r="AS85" s="190"/>
      <c r="AT85" s="190"/>
      <c r="AU85" s="190"/>
      <c r="AV85" s="190"/>
      <c r="AW85" s="190"/>
      <c r="AX85" s="190"/>
      <c r="AY85" s="190"/>
      <c r="AZ85" s="190"/>
      <c r="BA85" s="190"/>
      <c r="BB85" s="190"/>
      <c r="BC85" s="190"/>
      <c r="BD85" s="190"/>
      <c r="BE85" s="190"/>
      <c r="BF85" s="190"/>
      <c r="BG85" s="190"/>
      <c r="BH85" s="190"/>
      <c r="BI85" s="190"/>
      <c r="BJ85" s="190"/>
      <c r="BK85" s="190"/>
      <c r="BL85" s="190"/>
      <c r="BM85" s="190"/>
      <c r="BN85" s="190"/>
      <c r="BO85" s="190"/>
      <c r="BP85" s="190"/>
      <c r="BQ85" s="190"/>
      <c r="BR85" s="190"/>
      <c r="BS85" s="190"/>
      <c r="BT85" s="190"/>
      <c r="BU85" s="190"/>
      <c r="BV85" s="190"/>
      <c r="BW85" s="190"/>
      <c r="BX85" s="190"/>
      <c r="BY85" s="190"/>
      <c r="BZ85" s="190"/>
      <c r="CA85" s="190"/>
      <c r="CB85" s="190"/>
      <c r="CC85" s="190"/>
      <c r="CD85" s="190"/>
      <c r="CE85" s="190"/>
      <c r="CF85" s="190"/>
      <c r="CG85" s="190"/>
      <c r="CH85" s="190"/>
      <c r="CI85" s="190"/>
      <c r="CJ85" s="190"/>
      <c r="CK85" s="190"/>
      <c r="CL85" s="190"/>
      <c r="CM85" s="190"/>
      <c r="CN85" s="190"/>
      <c r="CO85" s="190"/>
    </row>
    <row r="86" spans="1:108" s="12" customFormat="1" ht="21" customHeight="1" x14ac:dyDescent="0.35">
      <c r="A86" s="135" t="s">
        <v>150</v>
      </c>
      <c r="B86" s="135"/>
      <c r="C86" s="135"/>
      <c r="D86" s="135"/>
      <c r="E86" s="135"/>
      <c r="F86" s="135"/>
      <c r="G86" s="135"/>
      <c r="H86" s="135"/>
      <c r="I86" s="135"/>
      <c r="J86" s="135"/>
      <c r="K86" s="135"/>
      <c r="L86" s="135"/>
      <c r="M86" s="135"/>
      <c r="N86" s="190"/>
      <c r="O86" s="190"/>
      <c r="P86" s="190"/>
      <c r="Q86" s="190"/>
      <c r="R86" s="190"/>
      <c r="S86" s="190"/>
      <c r="T86" s="190"/>
      <c r="U86" s="190"/>
      <c r="V86" s="190"/>
      <c r="W86" s="190"/>
      <c r="X86" s="190" t="s">
        <v>207</v>
      </c>
      <c r="Y86" s="190"/>
      <c r="Z86" s="190"/>
      <c r="AA86" s="190"/>
      <c r="AB86" s="190"/>
      <c r="AC86" s="190"/>
      <c r="AD86" s="190"/>
      <c r="AE86" s="190"/>
      <c r="AF86" s="190"/>
      <c r="AG86" s="190"/>
      <c r="AH86" s="190"/>
      <c r="AI86" s="190"/>
      <c r="AJ86" s="190"/>
      <c r="AK86" s="190"/>
      <c r="AL86" s="190"/>
      <c r="AM86" s="190"/>
      <c r="AN86" s="190"/>
      <c r="AO86" s="190"/>
      <c r="AP86" s="190"/>
      <c r="AQ86" s="190"/>
      <c r="AR86" s="190"/>
      <c r="AS86" s="190"/>
      <c r="AT86" s="190"/>
      <c r="AU86" s="190"/>
      <c r="AV86" s="190"/>
      <c r="AW86" s="190"/>
      <c r="AX86" s="190"/>
      <c r="AY86" s="190"/>
      <c r="AZ86" s="190"/>
      <c r="BA86" s="190"/>
      <c r="BB86" s="190"/>
      <c r="BC86" s="190"/>
      <c r="BD86" s="190"/>
      <c r="BE86" s="190"/>
      <c r="BF86" s="190"/>
      <c r="BG86" s="190"/>
      <c r="BH86" s="190"/>
      <c r="BI86" s="190"/>
      <c r="BJ86" s="190"/>
      <c r="BK86" s="190"/>
      <c r="BL86" s="190"/>
      <c r="BM86" s="190"/>
      <c r="BN86" s="190"/>
      <c r="BO86" s="190"/>
      <c r="BP86" s="190"/>
      <c r="BQ86" s="190"/>
      <c r="BR86" s="190"/>
      <c r="BS86" s="190"/>
      <c r="BT86" s="190"/>
      <c r="BU86" s="190"/>
      <c r="BV86" s="190"/>
      <c r="BW86" s="190"/>
      <c r="BX86" s="190"/>
      <c r="BY86" s="190"/>
      <c r="BZ86" s="190"/>
      <c r="CA86" s="190"/>
      <c r="CB86" s="190"/>
      <c r="CC86" s="190"/>
      <c r="CD86" s="190"/>
      <c r="CE86" s="190"/>
      <c r="CF86" s="190"/>
      <c r="CG86" s="190"/>
      <c r="CH86" s="190"/>
      <c r="CI86" s="190"/>
      <c r="CJ86" s="190"/>
      <c r="CK86" s="190"/>
      <c r="CL86" s="190"/>
      <c r="CM86" s="190"/>
      <c r="CN86" s="190"/>
      <c r="CO86" s="190"/>
    </row>
    <row r="87" spans="1:108" s="12" customFormat="1" ht="21" customHeight="1" x14ac:dyDescent="0.35">
      <c r="A87" s="135" t="s">
        <v>138</v>
      </c>
      <c r="B87" s="135"/>
      <c r="C87" s="135"/>
      <c r="D87" s="135"/>
      <c r="E87" s="135"/>
      <c r="F87" s="135"/>
      <c r="G87" s="135"/>
      <c r="H87" s="135"/>
      <c r="I87" s="135"/>
      <c r="J87" s="135"/>
      <c r="K87" s="135"/>
      <c r="L87" s="135"/>
      <c r="M87" s="135"/>
      <c r="N87" s="190"/>
      <c r="O87" s="190"/>
      <c r="P87" s="190"/>
      <c r="Q87" s="190"/>
      <c r="R87" s="190"/>
      <c r="S87" s="190"/>
      <c r="T87" s="190"/>
      <c r="U87" s="190"/>
      <c r="V87" s="190"/>
      <c r="W87" s="190"/>
      <c r="X87" s="190" t="s">
        <v>207</v>
      </c>
      <c r="Y87" s="190"/>
      <c r="Z87" s="190"/>
      <c r="AA87" s="190"/>
      <c r="AB87" s="190"/>
      <c r="AC87" s="190"/>
      <c r="AD87" s="190"/>
      <c r="AE87" s="190"/>
      <c r="AF87" s="190"/>
      <c r="AG87" s="190"/>
      <c r="AH87" s="190"/>
      <c r="AI87" s="190"/>
      <c r="AJ87" s="190"/>
      <c r="AK87" s="190"/>
      <c r="AL87" s="190"/>
      <c r="AM87" s="190"/>
      <c r="AN87" s="190"/>
      <c r="AO87" s="190"/>
      <c r="AP87" s="190"/>
      <c r="AQ87" s="190"/>
      <c r="AR87" s="190"/>
      <c r="AS87" s="190"/>
      <c r="AT87" s="190"/>
      <c r="AU87" s="190"/>
      <c r="AV87" s="190"/>
      <c r="AW87" s="190"/>
      <c r="AX87" s="190"/>
      <c r="AY87" s="190"/>
      <c r="AZ87" s="190"/>
      <c r="BA87" s="190"/>
      <c r="BB87" s="190"/>
      <c r="BC87" s="190"/>
      <c r="BD87" s="190"/>
      <c r="BE87" s="190"/>
      <c r="BF87" s="190"/>
      <c r="BG87" s="190"/>
      <c r="BH87" s="190"/>
      <c r="BI87" s="190"/>
      <c r="BJ87" s="190"/>
      <c r="BK87" s="190"/>
      <c r="BL87" s="190"/>
      <c r="BM87" s="190"/>
      <c r="BN87" s="190"/>
      <c r="BO87" s="190"/>
      <c r="BP87" s="190"/>
      <c r="BQ87" s="190"/>
      <c r="BR87" s="190"/>
      <c r="BS87" s="190"/>
      <c r="BT87" s="190"/>
      <c r="BU87" s="190"/>
      <c r="BV87" s="190"/>
      <c r="BW87" s="190"/>
      <c r="BX87" s="190"/>
      <c r="BY87" s="190"/>
      <c r="BZ87" s="190"/>
      <c r="CA87" s="190"/>
      <c r="CB87" s="190"/>
      <c r="CC87" s="190"/>
      <c r="CD87" s="190"/>
      <c r="CE87" s="190"/>
      <c r="CF87" s="190"/>
      <c r="CG87" s="190"/>
      <c r="CH87" s="190"/>
      <c r="CI87" s="190"/>
      <c r="CJ87" s="190"/>
      <c r="CK87" s="190"/>
      <c r="CL87" s="190"/>
      <c r="CM87" s="190"/>
      <c r="CN87" s="190"/>
      <c r="CO87" s="190"/>
    </row>
    <row r="88" spans="1:108" s="12" customFormat="1" ht="21" customHeight="1" x14ac:dyDescent="0.35">
      <c r="A88" s="135" t="s">
        <v>139</v>
      </c>
      <c r="B88" s="135"/>
      <c r="C88" s="135"/>
      <c r="D88" s="135"/>
      <c r="E88" s="135"/>
      <c r="F88" s="135"/>
      <c r="G88" s="135"/>
      <c r="H88" s="135"/>
      <c r="I88" s="135"/>
      <c r="J88" s="135"/>
      <c r="K88" s="135"/>
      <c r="L88" s="135"/>
      <c r="M88" s="135"/>
      <c r="N88" s="210"/>
      <c r="O88" s="210"/>
      <c r="P88" s="210"/>
      <c r="Q88" s="210"/>
      <c r="R88" s="210"/>
      <c r="S88" s="210"/>
      <c r="T88" s="210"/>
      <c r="U88" s="210"/>
      <c r="V88" s="210"/>
      <c r="W88" s="210"/>
      <c r="X88" s="210" t="s">
        <v>207</v>
      </c>
      <c r="Y88" s="210"/>
      <c r="Z88" s="210"/>
      <c r="AA88" s="210"/>
      <c r="AB88" s="210"/>
      <c r="AC88" s="210"/>
      <c r="AD88" s="210"/>
      <c r="AE88" s="210"/>
      <c r="AF88" s="210"/>
      <c r="AG88" s="210"/>
      <c r="AH88" s="210"/>
      <c r="AI88" s="210"/>
      <c r="AJ88" s="210"/>
      <c r="AK88" s="210"/>
      <c r="AL88" s="210"/>
      <c r="AM88" s="210"/>
      <c r="AN88" s="210"/>
      <c r="AO88" s="210"/>
      <c r="AP88" s="210"/>
      <c r="AQ88" s="210"/>
      <c r="AR88" s="210"/>
      <c r="AS88" s="210"/>
      <c r="AT88" s="210"/>
      <c r="AU88" s="210"/>
      <c r="AV88" s="210"/>
      <c r="AW88" s="210"/>
      <c r="AX88" s="210"/>
      <c r="AY88" s="210"/>
      <c r="AZ88" s="210"/>
      <c r="BA88" s="210"/>
      <c r="BB88" s="210"/>
      <c r="BC88" s="210"/>
      <c r="BD88" s="210"/>
      <c r="BE88" s="210"/>
      <c r="BF88" s="210"/>
      <c r="BG88" s="210"/>
      <c r="BH88" s="210"/>
      <c r="BI88" s="210"/>
      <c r="BJ88" s="210"/>
      <c r="BK88" s="210"/>
      <c r="BL88" s="210"/>
      <c r="BM88" s="210"/>
      <c r="BN88" s="210"/>
      <c r="BO88" s="210"/>
      <c r="BP88" s="210"/>
      <c r="BQ88" s="210"/>
      <c r="BR88" s="210"/>
      <c r="BS88" s="210"/>
      <c r="BT88" s="210"/>
      <c r="BU88" s="210"/>
      <c r="BV88" s="210"/>
      <c r="BW88" s="210"/>
      <c r="BX88" s="210"/>
      <c r="BY88" s="210"/>
      <c r="BZ88" s="210"/>
      <c r="CA88" s="210"/>
      <c r="CB88" s="210"/>
      <c r="CC88" s="210"/>
      <c r="CD88" s="210"/>
      <c r="CE88" s="210"/>
      <c r="CF88" s="210"/>
      <c r="CG88" s="210"/>
      <c r="CH88" s="210"/>
      <c r="CI88" s="210"/>
      <c r="CJ88" s="210"/>
      <c r="CK88" s="210"/>
      <c r="CL88" s="210"/>
      <c r="CM88" s="210"/>
      <c r="CN88" s="210"/>
      <c r="CO88" s="210"/>
    </row>
    <row r="89" spans="1:108" s="12" customFormat="1" ht="21" customHeight="1" x14ac:dyDescent="0.35">
      <c r="A89" s="135" t="s">
        <v>140</v>
      </c>
      <c r="B89" s="135"/>
      <c r="C89" s="135"/>
      <c r="D89" s="135"/>
      <c r="E89" s="135"/>
      <c r="F89" s="135"/>
      <c r="G89" s="135"/>
      <c r="H89" s="135"/>
      <c r="I89" s="135"/>
      <c r="J89" s="135"/>
      <c r="K89" s="135"/>
      <c r="L89" s="135"/>
      <c r="M89" s="135"/>
      <c r="N89" s="212"/>
      <c r="O89" s="212"/>
      <c r="P89" s="212"/>
      <c r="Q89" s="212"/>
      <c r="R89" s="212"/>
      <c r="S89" s="212"/>
      <c r="T89" s="212"/>
      <c r="U89" s="212"/>
      <c r="V89" s="212"/>
      <c r="W89" s="212"/>
      <c r="X89" s="190" t="s">
        <v>207</v>
      </c>
      <c r="Y89" s="190"/>
      <c r="Z89" s="190"/>
      <c r="AA89" s="190"/>
      <c r="AB89" s="190"/>
      <c r="AC89" s="190"/>
      <c r="AD89" s="190"/>
      <c r="AE89" s="190"/>
      <c r="AF89" s="190"/>
      <c r="AG89" s="190"/>
      <c r="AH89" s="190"/>
      <c r="AI89" s="190"/>
      <c r="AJ89" s="190"/>
      <c r="AK89" s="190"/>
      <c r="AL89" s="190"/>
      <c r="AM89" s="190"/>
      <c r="AN89" s="190"/>
      <c r="AO89" s="190"/>
      <c r="AP89" s="190"/>
      <c r="AQ89" s="190"/>
      <c r="AR89" s="190"/>
      <c r="AS89" s="190"/>
      <c r="AT89" s="190"/>
      <c r="AU89" s="190"/>
      <c r="AV89" s="190"/>
      <c r="AW89" s="190"/>
      <c r="AX89" s="190"/>
      <c r="AY89" s="190"/>
      <c r="AZ89" s="190"/>
      <c r="BA89" s="190"/>
      <c r="BB89" s="190"/>
      <c r="BC89" s="190"/>
      <c r="BD89" s="190"/>
      <c r="BE89" s="190"/>
      <c r="BF89" s="190"/>
      <c r="BG89" s="190"/>
      <c r="BH89" s="190"/>
      <c r="BI89" s="190"/>
      <c r="BJ89" s="190"/>
      <c r="BK89" s="190"/>
      <c r="BL89" s="190"/>
      <c r="BM89" s="190"/>
      <c r="BN89" s="190"/>
      <c r="BO89" s="190"/>
      <c r="BP89" s="190"/>
      <c r="BQ89" s="190"/>
      <c r="BR89" s="190"/>
      <c r="BS89" s="190"/>
      <c r="BT89" s="190"/>
      <c r="BU89" s="190"/>
      <c r="BV89" s="190"/>
      <c r="BW89" s="190"/>
      <c r="BX89" s="190"/>
      <c r="BY89" s="190"/>
      <c r="BZ89" s="190"/>
      <c r="CA89" s="190"/>
      <c r="CB89" s="190"/>
      <c r="CC89" s="190"/>
      <c r="CD89" s="190"/>
      <c r="CE89" s="190"/>
      <c r="CF89" s="190"/>
      <c r="CG89" s="190"/>
      <c r="CH89" s="190"/>
      <c r="CI89" s="190"/>
      <c r="CJ89" s="190"/>
      <c r="CK89" s="190"/>
      <c r="CL89" s="190"/>
      <c r="CM89" s="190"/>
      <c r="CN89" s="190"/>
      <c r="CO89" s="190"/>
      <c r="CS89" s="258"/>
      <c r="CT89" s="259"/>
      <c r="CU89" s="259"/>
      <c r="CV89" s="259"/>
      <c r="CW89" s="259"/>
      <c r="CX89" s="259"/>
      <c r="CY89" s="259"/>
      <c r="CZ89" s="259"/>
      <c r="DA89" s="259"/>
      <c r="DB89" s="259"/>
      <c r="DC89" s="259"/>
      <c r="DD89" s="259"/>
    </row>
    <row r="90" spans="1:108" s="12" customFormat="1" ht="21" customHeight="1" x14ac:dyDescent="0.35">
      <c r="A90" s="135" t="s">
        <v>141</v>
      </c>
      <c r="B90" s="135"/>
      <c r="C90" s="135"/>
      <c r="D90" s="135"/>
      <c r="E90" s="135"/>
      <c r="F90" s="135"/>
      <c r="G90" s="135"/>
      <c r="H90" s="135"/>
      <c r="I90" s="135"/>
      <c r="J90" s="135"/>
      <c r="K90" s="135"/>
      <c r="L90" s="135"/>
      <c r="M90" s="135"/>
      <c r="N90" s="190"/>
      <c r="O90" s="190"/>
      <c r="P90" s="190"/>
      <c r="Q90" s="190"/>
      <c r="R90" s="190"/>
      <c r="S90" s="190"/>
      <c r="T90" s="190"/>
      <c r="U90" s="190"/>
      <c r="V90" s="190"/>
      <c r="W90" s="190"/>
      <c r="X90" s="190" t="s">
        <v>207</v>
      </c>
      <c r="Y90" s="190"/>
      <c r="Z90" s="190"/>
      <c r="AA90" s="190"/>
      <c r="AB90" s="190"/>
      <c r="AC90" s="190"/>
      <c r="AD90" s="190"/>
      <c r="AE90" s="190"/>
      <c r="AF90" s="190"/>
      <c r="AG90" s="190"/>
      <c r="AH90" s="190"/>
      <c r="AI90" s="190"/>
      <c r="AJ90" s="190"/>
      <c r="AK90" s="190"/>
      <c r="AL90" s="190"/>
      <c r="AM90" s="190"/>
      <c r="AN90" s="190"/>
      <c r="AO90" s="190"/>
      <c r="AP90" s="190"/>
      <c r="AQ90" s="190"/>
      <c r="AR90" s="190"/>
      <c r="AS90" s="190"/>
      <c r="AT90" s="190"/>
      <c r="AU90" s="190"/>
      <c r="AV90" s="190"/>
      <c r="AW90" s="190"/>
      <c r="AX90" s="190"/>
      <c r="AY90" s="190"/>
      <c r="AZ90" s="190"/>
      <c r="BA90" s="190"/>
      <c r="BB90" s="190"/>
      <c r="BC90" s="190"/>
      <c r="BD90" s="190"/>
      <c r="BE90" s="190"/>
      <c r="BF90" s="190"/>
      <c r="BG90" s="190"/>
      <c r="BH90" s="190"/>
      <c r="BI90" s="190"/>
      <c r="BJ90" s="190"/>
      <c r="BK90" s="190"/>
      <c r="BL90" s="190"/>
      <c r="BM90" s="190"/>
      <c r="BN90" s="190"/>
      <c r="BO90" s="190"/>
      <c r="BP90" s="190"/>
      <c r="BQ90" s="190"/>
      <c r="BR90" s="190"/>
      <c r="BS90" s="190"/>
      <c r="BT90" s="190"/>
      <c r="BU90" s="190"/>
      <c r="BV90" s="190"/>
      <c r="BW90" s="190"/>
      <c r="BX90" s="190"/>
      <c r="BY90" s="190"/>
      <c r="BZ90" s="190"/>
      <c r="CA90" s="190"/>
      <c r="CB90" s="190"/>
      <c r="CC90" s="190"/>
      <c r="CD90" s="190"/>
      <c r="CE90" s="190"/>
      <c r="CF90" s="190"/>
      <c r="CG90" s="190"/>
      <c r="CH90" s="190"/>
      <c r="CI90" s="190"/>
      <c r="CJ90" s="190"/>
      <c r="CK90" s="190"/>
      <c r="CL90" s="190"/>
      <c r="CM90" s="190"/>
      <c r="CN90" s="190"/>
      <c r="CO90" s="190"/>
    </row>
    <row r="91" spans="1:108" s="12" customFormat="1" ht="21" customHeight="1" x14ac:dyDescent="0.35">
      <c r="A91" s="135" t="s">
        <v>151</v>
      </c>
      <c r="B91" s="135"/>
      <c r="C91" s="135"/>
      <c r="D91" s="135"/>
      <c r="E91" s="135"/>
      <c r="F91" s="135"/>
      <c r="G91" s="135"/>
      <c r="H91" s="135"/>
      <c r="I91" s="135"/>
      <c r="J91" s="135"/>
      <c r="K91" s="135"/>
      <c r="L91" s="135"/>
      <c r="M91" s="135"/>
      <c r="N91" s="190"/>
      <c r="O91" s="190"/>
      <c r="P91" s="190"/>
      <c r="Q91" s="190"/>
      <c r="R91" s="190"/>
      <c r="S91" s="190"/>
      <c r="T91" s="190"/>
      <c r="U91" s="190"/>
      <c r="V91" s="190"/>
      <c r="W91" s="190"/>
      <c r="X91" s="190" t="s">
        <v>207</v>
      </c>
      <c r="Y91" s="190"/>
      <c r="Z91" s="190"/>
      <c r="AA91" s="190"/>
      <c r="AB91" s="190"/>
      <c r="AC91" s="190"/>
      <c r="AD91" s="190"/>
      <c r="AE91" s="190"/>
      <c r="AF91" s="190"/>
      <c r="AG91" s="190"/>
      <c r="AH91" s="190"/>
      <c r="AI91" s="190"/>
      <c r="AJ91" s="190"/>
      <c r="AK91" s="190"/>
      <c r="AL91" s="190"/>
      <c r="AM91" s="190"/>
      <c r="AN91" s="190"/>
      <c r="AO91" s="190"/>
      <c r="AP91" s="190"/>
      <c r="AQ91" s="190"/>
      <c r="AR91" s="190"/>
      <c r="AS91" s="190"/>
      <c r="AT91" s="190"/>
      <c r="AU91" s="190"/>
      <c r="AV91" s="190"/>
      <c r="AW91" s="190"/>
      <c r="AX91" s="190"/>
      <c r="AY91" s="190"/>
      <c r="AZ91" s="190"/>
      <c r="BA91" s="190"/>
      <c r="BB91" s="190"/>
      <c r="BC91" s="190"/>
      <c r="BD91" s="190"/>
      <c r="BE91" s="190"/>
      <c r="BF91" s="190"/>
      <c r="BG91" s="190"/>
      <c r="BH91" s="190"/>
      <c r="BI91" s="190"/>
      <c r="BJ91" s="190"/>
      <c r="BK91" s="190"/>
      <c r="BL91" s="190"/>
      <c r="BM91" s="190"/>
      <c r="BN91" s="190"/>
      <c r="BO91" s="190"/>
      <c r="BP91" s="190"/>
      <c r="BQ91" s="190"/>
      <c r="BR91" s="190"/>
      <c r="BS91" s="190"/>
      <c r="BT91" s="190"/>
      <c r="BU91" s="190"/>
      <c r="BV91" s="190"/>
      <c r="BW91" s="190"/>
      <c r="BX91" s="190"/>
      <c r="BY91" s="190"/>
      <c r="BZ91" s="190"/>
      <c r="CA91" s="190"/>
      <c r="CB91" s="190"/>
      <c r="CC91" s="190"/>
      <c r="CD91" s="190"/>
      <c r="CE91" s="190"/>
      <c r="CF91" s="190"/>
      <c r="CG91" s="190"/>
      <c r="CH91" s="190"/>
      <c r="CI91" s="190"/>
      <c r="CJ91" s="190"/>
      <c r="CK91" s="190"/>
      <c r="CL91" s="190"/>
      <c r="CM91" s="190"/>
      <c r="CN91" s="190"/>
      <c r="CO91" s="190"/>
    </row>
    <row r="92" spans="1:108" s="12" customFormat="1" ht="21" customHeight="1" x14ac:dyDescent="0.35">
      <c r="A92" s="135" t="s">
        <v>152</v>
      </c>
      <c r="B92" s="135"/>
      <c r="C92" s="135"/>
      <c r="D92" s="135"/>
      <c r="E92" s="135"/>
      <c r="F92" s="135"/>
      <c r="G92" s="135"/>
      <c r="H92" s="135"/>
      <c r="I92" s="135"/>
      <c r="J92" s="135"/>
      <c r="K92" s="135"/>
      <c r="L92" s="135"/>
      <c r="M92" s="135"/>
      <c r="N92" s="190"/>
      <c r="O92" s="190"/>
      <c r="P92" s="190"/>
      <c r="Q92" s="190"/>
      <c r="R92" s="190"/>
      <c r="S92" s="190"/>
      <c r="T92" s="190"/>
      <c r="U92" s="190"/>
      <c r="V92" s="190"/>
      <c r="W92" s="190"/>
      <c r="X92" s="190" t="s">
        <v>207</v>
      </c>
      <c r="Y92" s="190"/>
      <c r="Z92" s="190"/>
      <c r="AA92" s="190"/>
      <c r="AB92" s="190"/>
      <c r="AC92" s="190"/>
      <c r="AD92" s="190"/>
      <c r="AE92" s="190"/>
      <c r="AF92" s="190"/>
      <c r="AG92" s="190"/>
      <c r="AH92" s="190"/>
      <c r="AI92" s="190"/>
      <c r="AJ92" s="190"/>
      <c r="AK92" s="190"/>
      <c r="AL92" s="190"/>
      <c r="AM92" s="190"/>
      <c r="AN92" s="190"/>
      <c r="AO92" s="190"/>
      <c r="AP92" s="190"/>
      <c r="AQ92" s="190"/>
      <c r="AR92" s="190"/>
      <c r="AS92" s="190"/>
      <c r="AT92" s="190"/>
      <c r="AU92" s="190"/>
      <c r="AV92" s="190"/>
      <c r="AW92" s="190"/>
      <c r="AX92" s="190"/>
      <c r="AY92" s="190"/>
      <c r="AZ92" s="190"/>
      <c r="BA92" s="190"/>
      <c r="BB92" s="190"/>
      <c r="BC92" s="190"/>
      <c r="BD92" s="190"/>
      <c r="BE92" s="190"/>
      <c r="BF92" s="190"/>
      <c r="BG92" s="190"/>
      <c r="BH92" s="190"/>
      <c r="BI92" s="190"/>
      <c r="BJ92" s="190"/>
      <c r="BK92" s="190"/>
      <c r="BL92" s="190"/>
      <c r="BM92" s="190"/>
      <c r="BN92" s="190"/>
      <c r="BO92" s="190"/>
      <c r="BP92" s="190"/>
      <c r="BQ92" s="190"/>
      <c r="BR92" s="190"/>
      <c r="BS92" s="190"/>
      <c r="BT92" s="190"/>
      <c r="BU92" s="190"/>
      <c r="BV92" s="190"/>
      <c r="BW92" s="190"/>
      <c r="BX92" s="190"/>
      <c r="BY92" s="190"/>
      <c r="BZ92" s="190"/>
      <c r="CA92" s="190"/>
      <c r="CB92" s="190"/>
      <c r="CC92" s="190"/>
      <c r="CD92" s="190"/>
      <c r="CE92" s="190"/>
      <c r="CF92" s="190"/>
      <c r="CG92" s="190"/>
      <c r="CH92" s="190"/>
      <c r="CI92" s="190"/>
      <c r="CJ92" s="190"/>
      <c r="CK92" s="190"/>
      <c r="CL92" s="190"/>
      <c r="CM92" s="190"/>
      <c r="CN92" s="190"/>
      <c r="CO92" s="190"/>
    </row>
    <row r="93" spans="1:108" s="12" customFormat="1" ht="21" customHeight="1" x14ac:dyDescent="0.35">
      <c r="A93" s="135" t="s">
        <v>153</v>
      </c>
      <c r="B93" s="135"/>
      <c r="C93" s="135"/>
      <c r="D93" s="135"/>
      <c r="E93" s="135"/>
      <c r="F93" s="135"/>
      <c r="G93" s="135"/>
      <c r="H93" s="135"/>
      <c r="I93" s="135"/>
      <c r="J93" s="135"/>
      <c r="K93" s="135"/>
      <c r="L93" s="135"/>
      <c r="M93" s="135"/>
      <c r="N93" s="190"/>
      <c r="O93" s="190"/>
      <c r="P93" s="190"/>
      <c r="Q93" s="190"/>
      <c r="R93" s="190"/>
      <c r="S93" s="190"/>
      <c r="T93" s="190"/>
      <c r="U93" s="190"/>
      <c r="V93" s="190"/>
      <c r="W93" s="190"/>
      <c r="X93" s="190" t="s">
        <v>207</v>
      </c>
      <c r="Y93" s="190"/>
      <c r="Z93" s="190"/>
      <c r="AA93" s="190"/>
      <c r="AB93" s="190"/>
      <c r="AC93" s="190"/>
      <c r="AD93" s="190"/>
      <c r="AE93" s="190"/>
      <c r="AF93" s="190"/>
      <c r="AG93" s="190"/>
      <c r="AH93" s="190"/>
      <c r="AI93" s="190"/>
      <c r="AJ93" s="190"/>
      <c r="AK93" s="190"/>
      <c r="AL93" s="190"/>
      <c r="AM93" s="190"/>
      <c r="AN93" s="190"/>
      <c r="AO93" s="190"/>
      <c r="AP93" s="190"/>
      <c r="AQ93" s="190"/>
      <c r="AR93" s="190"/>
      <c r="AS93" s="190"/>
      <c r="AT93" s="190"/>
      <c r="AU93" s="190"/>
      <c r="AV93" s="190"/>
      <c r="AW93" s="190"/>
      <c r="AX93" s="190"/>
      <c r="AY93" s="190"/>
      <c r="AZ93" s="190"/>
      <c r="BA93" s="190"/>
      <c r="BB93" s="190"/>
      <c r="BC93" s="190"/>
      <c r="BD93" s="190"/>
      <c r="BE93" s="190"/>
      <c r="BF93" s="190"/>
      <c r="BG93" s="190"/>
      <c r="BH93" s="190"/>
      <c r="BI93" s="190"/>
      <c r="BJ93" s="190"/>
      <c r="BK93" s="190"/>
      <c r="BL93" s="190"/>
      <c r="BM93" s="190"/>
      <c r="BN93" s="190"/>
      <c r="BO93" s="190"/>
      <c r="BP93" s="190"/>
      <c r="BQ93" s="190"/>
      <c r="BR93" s="190"/>
      <c r="BS93" s="190"/>
      <c r="BT93" s="190"/>
      <c r="BU93" s="190"/>
      <c r="BV93" s="190"/>
      <c r="BW93" s="190"/>
      <c r="BX93" s="190"/>
      <c r="BY93" s="190"/>
      <c r="BZ93" s="190"/>
      <c r="CA93" s="190"/>
      <c r="CB93" s="190"/>
      <c r="CC93" s="190"/>
      <c r="CD93" s="190"/>
      <c r="CE93" s="190"/>
      <c r="CF93" s="190"/>
      <c r="CG93" s="190"/>
      <c r="CH93" s="190"/>
      <c r="CI93" s="190"/>
      <c r="CJ93" s="190"/>
      <c r="CK93" s="190"/>
      <c r="CL93" s="190"/>
      <c r="CM93" s="190"/>
      <c r="CN93" s="190"/>
      <c r="CO93" s="190"/>
    </row>
    <row r="94" spans="1:108" s="12" customFormat="1" ht="21" customHeight="1" x14ac:dyDescent="0.35">
      <c r="A94" s="135" t="s">
        <v>154</v>
      </c>
      <c r="B94" s="135"/>
      <c r="C94" s="135"/>
      <c r="D94" s="135"/>
      <c r="E94" s="135"/>
      <c r="F94" s="135"/>
      <c r="G94" s="135"/>
      <c r="H94" s="135"/>
      <c r="I94" s="135"/>
      <c r="J94" s="135"/>
      <c r="K94" s="135"/>
      <c r="L94" s="135"/>
      <c r="M94" s="135"/>
      <c r="N94" s="210"/>
      <c r="O94" s="210"/>
      <c r="P94" s="210"/>
      <c r="Q94" s="210"/>
      <c r="R94" s="210"/>
      <c r="S94" s="210"/>
      <c r="T94" s="210"/>
      <c r="U94" s="210"/>
      <c r="V94" s="210"/>
      <c r="W94" s="210"/>
      <c r="X94" s="210" t="s">
        <v>207</v>
      </c>
      <c r="Y94" s="210"/>
      <c r="Z94" s="210"/>
      <c r="AA94" s="210"/>
      <c r="AB94" s="210"/>
      <c r="AC94" s="210"/>
      <c r="AD94" s="210"/>
      <c r="AE94" s="210"/>
      <c r="AF94" s="210"/>
      <c r="AG94" s="210"/>
      <c r="AH94" s="210"/>
      <c r="AI94" s="210"/>
      <c r="AJ94" s="210"/>
      <c r="AK94" s="210"/>
      <c r="AL94" s="210"/>
      <c r="AM94" s="210"/>
      <c r="AN94" s="210"/>
      <c r="AO94" s="210"/>
      <c r="AP94" s="210"/>
      <c r="AQ94" s="210"/>
      <c r="AR94" s="210"/>
      <c r="AS94" s="210"/>
      <c r="AT94" s="210"/>
      <c r="AU94" s="210"/>
      <c r="AV94" s="210"/>
      <c r="AW94" s="210"/>
      <c r="AX94" s="210"/>
      <c r="AY94" s="210"/>
      <c r="AZ94" s="210"/>
      <c r="BA94" s="210"/>
      <c r="BB94" s="210"/>
      <c r="BC94" s="210"/>
      <c r="BD94" s="210"/>
      <c r="BE94" s="210"/>
      <c r="BF94" s="210"/>
      <c r="BG94" s="210"/>
      <c r="BH94" s="210"/>
      <c r="BI94" s="210"/>
      <c r="BJ94" s="210"/>
      <c r="BK94" s="210"/>
      <c r="BL94" s="210"/>
      <c r="BM94" s="210"/>
      <c r="BN94" s="210"/>
      <c r="BO94" s="210"/>
      <c r="BP94" s="210"/>
      <c r="BQ94" s="210"/>
      <c r="BR94" s="210"/>
      <c r="BS94" s="210"/>
      <c r="BT94" s="210"/>
      <c r="BU94" s="210"/>
      <c r="BV94" s="210"/>
      <c r="BW94" s="210"/>
      <c r="BX94" s="210"/>
      <c r="BY94" s="210"/>
      <c r="BZ94" s="210"/>
      <c r="CA94" s="210"/>
      <c r="CB94" s="210"/>
      <c r="CC94" s="210"/>
      <c r="CD94" s="210"/>
      <c r="CE94" s="210"/>
      <c r="CF94" s="210"/>
      <c r="CG94" s="210"/>
      <c r="CH94" s="210"/>
      <c r="CI94" s="210"/>
      <c r="CJ94" s="210"/>
      <c r="CK94" s="210"/>
      <c r="CL94" s="210"/>
      <c r="CM94" s="210"/>
      <c r="CN94" s="210"/>
      <c r="CO94" s="210"/>
    </row>
    <row r="95" spans="1:108" ht="21" customHeight="1" x14ac:dyDescent="0.35">
      <c r="A95" s="135" t="s">
        <v>155</v>
      </c>
      <c r="B95" s="135"/>
      <c r="C95" s="135"/>
      <c r="D95" s="135"/>
      <c r="E95" s="135"/>
      <c r="F95" s="135"/>
      <c r="G95" s="135"/>
      <c r="H95" s="135"/>
      <c r="I95" s="135"/>
      <c r="J95" s="135"/>
      <c r="K95" s="135"/>
      <c r="L95" s="135"/>
      <c r="M95" s="135"/>
      <c r="N95" s="210"/>
      <c r="O95" s="210"/>
      <c r="P95" s="210"/>
      <c r="Q95" s="210"/>
      <c r="R95" s="210"/>
      <c r="S95" s="210"/>
      <c r="T95" s="210"/>
      <c r="U95" s="210"/>
      <c r="V95" s="210"/>
      <c r="W95" s="210"/>
      <c r="X95" s="210" t="s">
        <v>207</v>
      </c>
      <c r="Y95" s="210"/>
      <c r="Z95" s="210"/>
      <c r="AA95" s="210"/>
      <c r="AB95" s="210"/>
      <c r="AC95" s="210"/>
      <c r="AD95" s="210"/>
      <c r="AE95" s="210"/>
      <c r="AF95" s="210"/>
      <c r="AG95" s="210"/>
      <c r="AH95" s="210"/>
      <c r="AI95" s="210"/>
      <c r="AJ95" s="210"/>
      <c r="AK95" s="210"/>
      <c r="AL95" s="210"/>
      <c r="AM95" s="210"/>
      <c r="AN95" s="210"/>
      <c r="AO95" s="210"/>
      <c r="AP95" s="210"/>
      <c r="AQ95" s="210"/>
      <c r="AR95" s="210"/>
      <c r="AS95" s="210"/>
      <c r="AT95" s="210"/>
      <c r="AU95" s="210"/>
      <c r="AV95" s="210"/>
      <c r="AW95" s="210"/>
      <c r="AX95" s="210"/>
      <c r="AY95" s="210"/>
      <c r="AZ95" s="210"/>
      <c r="BA95" s="210"/>
      <c r="BB95" s="210"/>
      <c r="BC95" s="210"/>
      <c r="BD95" s="210"/>
      <c r="BE95" s="210"/>
      <c r="BF95" s="210"/>
      <c r="BG95" s="210"/>
      <c r="BH95" s="210"/>
      <c r="BI95" s="210"/>
      <c r="BJ95" s="210"/>
      <c r="BK95" s="210"/>
      <c r="BL95" s="210"/>
      <c r="BM95" s="210"/>
      <c r="BN95" s="210"/>
      <c r="BO95" s="210"/>
      <c r="BP95" s="210"/>
      <c r="BQ95" s="210"/>
      <c r="BR95" s="210"/>
      <c r="BS95" s="210"/>
      <c r="BT95" s="210"/>
      <c r="BU95" s="210"/>
      <c r="BV95" s="210"/>
      <c r="BW95" s="210"/>
      <c r="BX95" s="210"/>
      <c r="BY95" s="210"/>
      <c r="BZ95" s="210"/>
      <c r="CA95" s="210"/>
      <c r="CB95" s="210"/>
      <c r="CC95" s="210"/>
      <c r="CD95" s="210"/>
      <c r="CE95" s="210"/>
      <c r="CF95" s="210"/>
      <c r="CG95" s="210"/>
      <c r="CH95" s="210"/>
      <c r="CI95" s="210"/>
      <c r="CJ95" s="210"/>
      <c r="CK95" s="210"/>
      <c r="CL95" s="210"/>
      <c r="CM95" s="210"/>
      <c r="CN95" s="210"/>
      <c r="CO95" s="210"/>
    </row>
    <row r="96" spans="1:108" ht="21" customHeight="1" x14ac:dyDescent="0.35">
      <c r="A96" s="135" t="s">
        <v>156</v>
      </c>
      <c r="B96" s="135"/>
      <c r="C96" s="135"/>
      <c r="D96" s="135"/>
      <c r="E96" s="135"/>
      <c r="F96" s="135"/>
      <c r="G96" s="135"/>
      <c r="H96" s="135"/>
      <c r="I96" s="135"/>
      <c r="J96" s="135"/>
      <c r="K96" s="135"/>
      <c r="L96" s="135"/>
      <c r="M96" s="135"/>
      <c r="N96" s="210"/>
      <c r="O96" s="210"/>
      <c r="P96" s="210"/>
      <c r="Q96" s="210"/>
      <c r="R96" s="210"/>
      <c r="S96" s="210"/>
      <c r="T96" s="210"/>
      <c r="U96" s="210"/>
      <c r="V96" s="210"/>
      <c r="W96" s="210"/>
      <c r="X96" s="210" t="s">
        <v>207</v>
      </c>
      <c r="Y96" s="210"/>
      <c r="Z96" s="210"/>
      <c r="AA96" s="210"/>
      <c r="AB96" s="210"/>
      <c r="AC96" s="210"/>
      <c r="AD96" s="210"/>
      <c r="AE96" s="210"/>
      <c r="AF96" s="210"/>
      <c r="AG96" s="210"/>
      <c r="AH96" s="210"/>
      <c r="AI96" s="210"/>
      <c r="AJ96" s="210"/>
      <c r="AK96" s="210"/>
      <c r="AL96" s="210"/>
      <c r="AM96" s="210"/>
      <c r="AN96" s="210"/>
      <c r="AO96" s="210"/>
      <c r="AP96" s="210"/>
      <c r="AQ96" s="210"/>
      <c r="AR96" s="210"/>
      <c r="AS96" s="210"/>
      <c r="AT96" s="210"/>
      <c r="AU96" s="210"/>
      <c r="AV96" s="210"/>
      <c r="AW96" s="210"/>
      <c r="AX96" s="210"/>
      <c r="AY96" s="210"/>
      <c r="AZ96" s="210"/>
      <c r="BA96" s="210"/>
      <c r="BB96" s="210"/>
      <c r="BC96" s="210"/>
      <c r="BD96" s="210"/>
      <c r="BE96" s="210"/>
      <c r="BF96" s="210"/>
      <c r="BG96" s="210"/>
      <c r="BH96" s="210"/>
      <c r="BI96" s="210"/>
      <c r="BJ96" s="210"/>
      <c r="BK96" s="210"/>
      <c r="BL96" s="210"/>
      <c r="BM96" s="210"/>
      <c r="BN96" s="210"/>
      <c r="BO96" s="210"/>
      <c r="BP96" s="210"/>
      <c r="BQ96" s="210"/>
      <c r="BR96" s="210"/>
      <c r="BS96" s="210"/>
      <c r="BT96" s="210"/>
      <c r="BU96" s="210"/>
      <c r="BV96" s="210"/>
      <c r="BW96" s="210"/>
      <c r="BX96" s="210"/>
      <c r="BY96" s="210"/>
      <c r="BZ96" s="210"/>
      <c r="CA96" s="210"/>
      <c r="CB96" s="210"/>
      <c r="CC96" s="210"/>
      <c r="CD96" s="210"/>
      <c r="CE96" s="210"/>
      <c r="CF96" s="210"/>
      <c r="CG96" s="210"/>
      <c r="CH96" s="210"/>
      <c r="CI96" s="210"/>
      <c r="CJ96" s="210"/>
      <c r="CK96" s="210"/>
      <c r="CL96" s="210"/>
      <c r="CM96" s="210"/>
      <c r="CN96" s="210"/>
      <c r="CO96" s="210"/>
    </row>
    <row r="97" spans="1:140" ht="21" customHeight="1" x14ac:dyDescent="0.35">
      <c r="A97" s="135" t="s">
        <v>157</v>
      </c>
      <c r="B97" s="135"/>
      <c r="C97" s="135"/>
      <c r="D97" s="135"/>
      <c r="E97" s="135"/>
      <c r="F97" s="135"/>
      <c r="G97" s="135"/>
      <c r="H97" s="135"/>
      <c r="I97" s="135"/>
      <c r="J97" s="135"/>
      <c r="K97" s="135"/>
      <c r="L97" s="135"/>
      <c r="M97" s="135"/>
      <c r="N97" s="210"/>
      <c r="O97" s="210"/>
      <c r="P97" s="210"/>
      <c r="Q97" s="210"/>
      <c r="R97" s="210"/>
      <c r="S97" s="210"/>
      <c r="T97" s="210"/>
      <c r="U97" s="210"/>
      <c r="V97" s="210"/>
      <c r="W97" s="210"/>
      <c r="X97" s="210" t="s">
        <v>207</v>
      </c>
      <c r="Y97" s="210"/>
      <c r="Z97" s="210"/>
      <c r="AA97" s="210"/>
      <c r="AB97" s="210"/>
      <c r="AC97" s="210"/>
      <c r="AD97" s="210"/>
      <c r="AE97" s="210"/>
      <c r="AF97" s="210"/>
      <c r="AG97" s="210"/>
      <c r="AH97" s="210"/>
      <c r="AI97" s="210"/>
      <c r="AJ97" s="210"/>
      <c r="AK97" s="210"/>
      <c r="AL97" s="210"/>
      <c r="AM97" s="210"/>
      <c r="AN97" s="210"/>
      <c r="AO97" s="210"/>
      <c r="AP97" s="210"/>
      <c r="AQ97" s="210"/>
      <c r="AR97" s="210"/>
      <c r="AS97" s="210"/>
      <c r="AT97" s="210"/>
      <c r="AU97" s="210"/>
      <c r="AV97" s="210"/>
      <c r="AW97" s="210"/>
      <c r="AX97" s="210"/>
      <c r="AY97" s="210"/>
      <c r="AZ97" s="210"/>
      <c r="BA97" s="210"/>
      <c r="BB97" s="210"/>
      <c r="BC97" s="210"/>
      <c r="BD97" s="210"/>
      <c r="BE97" s="210"/>
      <c r="BF97" s="210"/>
      <c r="BG97" s="210"/>
      <c r="BH97" s="210"/>
      <c r="BI97" s="210"/>
      <c r="BJ97" s="210"/>
      <c r="BK97" s="210"/>
      <c r="BL97" s="210"/>
      <c r="BM97" s="210"/>
      <c r="BN97" s="210"/>
      <c r="BO97" s="210"/>
      <c r="BP97" s="210"/>
      <c r="BQ97" s="210"/>
      <c r="BR97" s="210"/>
      <c r="BS97" s="210"/>
      <c r="BT97" s="210"/>
      <c r="BU97" s="210"/>
      <c r="BV97" s="210"/>
      <c r="BW97" s="210"/>
      <c r="BX97" s="210"/>
      <c r="BY97" s="210"/>
      <c r="BZ97" s="210"/>
      <c r="CA97" s="210"/>
      <c r="CB97" s="210"/>
      <c r="CC97" s="210"/>
      <c r="CD97" s="210"/>
      <c r="CE97" s="210"/>
      <c r="CF97" s="210"/>
      <c r="CG97" s="210"/>
      <c r="CH97" s="210"/>
      <c r="CI97" s="210"/>
      <c r="CJ97" s="210"/>
      <c r="CK97" s="210"/>
      <c r="CL97" s="210"/>
      <c r="CM97" s="210"/>
      <c r="CN97" s="210"/>
      <c r="CO97" s="210"/>
    </row>
    <row r="98" spans="1:140" ht="21" customHeight="1" x14ac:dyDescent="0.35">
      <c r="A98" s="135" t="s">
        <v>158</v>
      </c>
      <c r="B98" s="135"/>
      <c r="C98" s="135"/>
      <c r="D98" s="135"/>
      <c r="E98" s="135"/>
      <c r="F98" s="135"/>
      <c r="G98" s="135"/>
      <c r="H98" s="135"/>
      <c r="I98" s="135"/>
      <c r="J98" s="135"/>
      <c r="K98" s="135"/>
      <c r="L98" s="135"/>
      <c r="M98" s="135"/>
      <c r="N98" s="211"/>
      <c r="O98" s="211"/>
      <c r="P98" s="211"/>
      <c r="Q98" s="211"/>
      <c r="R98" s="211"/>
      <c r="S98" s="211"/>
      <c r="T98" s="211"/>
      <c r="U98" s="211"/>
      <c r="V98" s="211"/>
      <c r="W98" s="211"/>
      <c r="X98" s="211" t="s">
        <v>207</v>
      </c>
      <c r="Y98" s="211"/>
      <c r="Z98" s="211"/>
      <c r="AA98" s="211"/>
      <c r="AB98" s="211"/>
      <c r="AC98" s="211"/>
      <c r="AD98" s="211"/>
      <c r="AE98" s="211"/>
      <c r="AF98" s="211"/>
      <c r="AG98" s="211"/>
      <c r="AH98" s="211"/>
      <c r="AI98" s="211"/>
      <c r="AJ98" s="211"/>
      <c r="AK98" s="211"/>
      <c r="AL98" s="211"/>
      <c r="AM98" s="211"/>
      <c r="AN98" s="211"/>
      <c r="AO98" s="211"/>
      <c r="AP98" s="211"/>
      <c r="AQ98" s="211"/>
      <c r="AR98" s="211"/>
      <c r="AS98" s="211"/>
      <c r="AT98" s="211"/>
      <c r="AU98" s="211"/>
      <c r="AV98" s="211"/>
      <c r="AW98" s="211"/>
      <c r="AX98" s="211"/>
      <c r="AY98" s="211"/>
      <c r="AZ98" s="211"/>
      <c r="BA98" s="211"/>
      <c r="BB98" s="211"/>
      <c r="BC98" s="211"/>
      <c r="BD98" s="211"/>
      <c r="BE98" s="211"/>
      <c r="BF98" s="211"/>
      <c r="BG98" s="211"/>
      <c r="BH98" s="211"/>
      <c r="BI98" s="211"/>
      <c r="BJ98" s="211"/>
      <c r="BK98" s="211"/>
      <c r="BL98" s="211"/>
      <c r="BM98" s="211"/>
      <c r="BN98" s="211"/>
      <c r="BO98" s="211"/>
      <c r="BP98" s="211"/>
      <c r="BQ98" s="211"/>
      <c r="BR98" s="211"/>
      <c r="BS98" s="211"/>
      <c r="BT98" s="211"/>
      <c r="BU98" s="211"/>
      <c r="BV98" s="211"/>
      <c r="BW98" s="211"/>
      <c r="BX98" s="211"/>
      <c r="BY98" s="211"/>
      <c r="BZ98" s="211"/>
      <c r="CA98" s="211"/>
      <c r="CB98" s="211"/>
      <c r="CC98" s="211"/>
      <c r="CD98" s="211"/>
      <c r="CE98" s="211"/>
      <c r="CF98" s="211"/>
      <c r="CG98" s="211"/>
      <c r="CH98" s="211"/>
      <c r="CI98" s="211"/>
      <c r="CJ98" s="211"/>
      <c r="CK98" s="211"/>
      <c r="CL98" s="211"/>
      <c r="CM98" s="211"/>
      <c r="CN98" s="211"/>
      <c r="CO98" s="211"/>
    </row>
    <row r="99" spans="1:140" ht="21" customHeight="1" x14ac:dyDescent="0.35">
      <c r="A99" s="135" t="s">
        <v>161</v>
      </c>
      <c r="B99" s="135"/>
      <c r="C99" s="135"/>
      <c r="D99" s="135"/>
      <c r="E99" s="135"/>
      <c r="F99" s="135"/>
      <c r="G99" s="135"/>
      <c r="H99" s="135"/>
      <c r="I99" s="135"/>
      <c r="J99" s="135"/>
      <c r="K99" s="135"/>
      <c r="L99" s="135"/>
      <c r="M99" s="135"/>
      <c r="N99" s="190" t="s">
        <v>207</v>
      </c>
      <c r="O99" s="190"/>
      <c r="P99" s="190"/>
      <c r="Q99" s="190"/>
      <c r="R99" s="190"/>
      <c r="S99" s="190"/>
      <c r="T99" s="190"/>
      <c r="U99" s="190"/>
      <c r="V99" s="190"/>
      <c r="W99" s="190"/>
      <c r="X99" s="190" t="s">
        <v>207</v>
      </c>
      <c r="Y99" s="190"/>
      <c r="Z99" s="190"/>
      <c r="AA99" s="190"/>
      <c r="AB99" s="190"/>
      <c r="AC99" s="190"/>
      <c r="AD99" s="190"/>
      <c r="AE99" s="190"/>
      <c r="AF99" s="190"/>
      <c r="AG99" s="190"/>
      <c r="AH99" s="190"/>
      <c r="AI99" s="190"/>
      <c r="AJ99" s="190"/>
      <c r="AK99" s="190"/>
      <c r="AL99" s="190"/>
      <c r="AM99" s="190"/>
      <c r="AN99" s="190"/>
      <c r="AO99" s="190"/>
      <c r="AP99" s="190"/>
      <c r="AQ99" s="190"/>
      <c r="AR99" s="190"/>
      <c r="AS99" s="190"/>
      <c r="AT99" s="190"/>
      <c r="AU99" s="190"/>
      <c r="AV99" s="190"/>
      <c r="AW99" s="190"/>
      <c r="AX99" s="190"/>
      <c r="AY99" s="190"/>
      <c r="AZ99" s="190"/>
      <c r="BA99" s="190"/>
      <c r="BB99" s="190"/>
      <c r="BC99" s="190"/>
      <c r="BD99" s="190"/>
      <c r="BE99" s="190"/>
      <c r="BF99" s="190"/>
      <c r="BG99" s="190"/>
      <c r="BH99" s="190"/>
      <c r="BI99" s="190"/>
      <c r="BJ99" s="190"/>
      <c r="BK99" s="190"/>
      <c r="BL99" s="190"/>
      <c r="BM99" s="190"/>
      <c r="BN99" s="190"/>
      <c r="BO99" s="190"/>
      <c r="BP99" s="190"/>
      <c r="BQ99" s="190"/>
      <c r="BR99" s="190"/>
      <c r="BS99" s="190"/>
      <c r="BT99" s="190"/>
      <c r="BU99" s="190"/>
      <c r="BV99" s="190"/>
      <c r="BW99" s="190"/>
      <c r="BX99" s="190"/>
      <c r="BY99" s="190"/>
      <c r="BZ99" s="190"/>
      <c r="CA99" s="190"/>
      <c r="CB99" s="190"/>
      <c r="CC99" s="190"/>
      <c r="CD99" s="190"/>
      <c r="CE99" s="190"/>
      <c r="CF99" s="190"/>
      <c r="CG99" s="190"/>
      <c r="CH99" s="190"/>
      <c r="CI99" s="190"/>
      <c r="CJ99" s="190"/>
      <c r="CK99" s="190"/>
      <c r="CL99" s="190"/>
      <c r="CM99" s="190"/>
      <c r="CN99" s="190"/>
      <c r="CO99" s="190"/>
    </row>
    <row r="100" spans="1:140" ht="21" customHeight="1" x14ac:dyDescent="0.35">
      <c r="A100" s="135" t="s">
        <v>159</v>
      </c>
      <c r="B100" s="135"/>
      <c r="C100" s="135"/>
      <c r="D100" s="135"/>
      <c r="E100" s="135"/>
      <c r="F100" s="135"/>
      <c r="G100" s="135"/>
      <c r="H100" s="135"/>
      <c r="I100" s="135"/>
      <c r="J100" s="135"/>
      <c r="K100" s="135"/>
      <c r="L100" s="135"/>
      <c r="M100" s="135"/>
      <c r="N100" s="190" t="s">
        <v>207</v>
      </c>
      <c r="O100" s="190"/>
      <c r="P100" s="190"/>
      <c r="Q100" s="190"/>
      <c r="R100" s="190"/>
      <c r="S100" s="190"/>
      <c r="T100" s="190"/>
      <c r="U100" s="190"/>
      <c r="V100" s="190"/>
      <c r="W100" s="190"/>
      <c r="X100" s="190" t="s">
        <v>207</v>
      </c>
      <c r="Y100" s="190"/>
      <c r="Z100" s="190"/>
      <c r="AA100" s="190"/>
      <c r="AB100" s="190"/>
      <c r="AC100" s="190"/>
      <c r="AD100" s="190"/>
      <c r="AE100" s="190"/>
      <c r="AF100" s="190"/>
      <c r="AG100" s="190"/>
      <c r="AH100" s="190"/>
      <c r="AI100" s="190"/>
      <c r="AJ100" s="190"/>
      <c r="AK100" s="190"/>
      <c r="AL100" s="190"/>
      <c r="AM100" s="190"/>
      <c r="AN100" s="190"/>
      <c r="AO100" s="190"/>
      <c r="AP100" s="190"/>
      <c r="AQ100" s="190"/>
      <c r="AR100" s="190"/>
      <c r="AS100" s="190"/>
      <c r="AT100" s="190"/>
      <c r="AU100" s="190"/>
      <c r="AV100" s="190"/>
      <c r="AW100" s="190"/>
      <c r="AX100" s="190"/>
      <c r="AY100" s="190"/>
      <c r="AZ100" s="190"/>
      <c r="BA100" s="190"/>
      <c r="BB100" s="190"/>
      <c r="BC100" s="190"/>
      <c r="BD100" s="190"/>
      <c r="BE100" s="190"/>
      <c r="BF100" s="190"/>
      <c r="BG100" s="190"/>
      <c r="BH100" s="190"/>
      <c r="BI100" s="190"/>
      <c r="BJ100" s="190"/>
      <c r="BK100" s="190"/>
      <c r="BL100" s="190"/>
      <c r="BM100" s="190"/>
      <c r="BN100" s="190"/>
      <c r="BO100" s="190"/>
      <c r="BP100" s="190"/>
      <c r="BQ100" s="190"/>
      <c r="BR100" s="190"/>
      <c r="BS100" s="190"/>
      <c r="BT100" s="190"/>
      <c r="BU100" s="190"/>
      <c r="BV100" s="190"/>
      <c r="BW100" s="190"/>
      <c r="BX100" s="190"/>
      <c r="BY100" s="190"/>
      <c r="BZ100" s="190"/>
      <c r="CA100" s="190"/>
      <c r="CB100" s="190"/>
      <c r="CC100" s="190"/>
      <c r="CD100" s="190"/>
      <c r="CE100" s="190"/>
      <c r="CF100" s="190"/>
      <c r="CG100" s="190"/>
      <c r="CH100" s="190"/>
      <c r="CI100" s="190"/>
      <c r="CJ100" s="190"/>
      <c r="CK100" s="190"/>
      <c r="CL100" s="190"/>
      <c r="CM100" s="190"/>
      <c r="CN100" s="190"/>
      <c r="CO100" s="190"/>
    </row>
    <row r="101" spans="1:140" ht="21" customHeight="1" x14ac:dyDescent="0.35">
      <c r="A101" s="135" t="s">
        <v>160</v>
      </c>
      <c r="B101" s="135"/>
      <c r="C101" s="135"/>
      <c r="D101" s="135"/>
      <c r="E101" s="135"/>
      <c r="F101" s="135"/>
      <c r="G101" s="135"/>
      <c r="H101" s="135"/>
      <c r="I101" s="135"/>
      <c r="J101" s="135"/>
      <c r="K101" s="135"/>
      <c r="L101" s="135"/>
      <c r="M101" s="135"/>
      <c r="N101" s="190" t="s">
        <v>207</v>
      </c>
      <c r="O101" s="190"/>
      <c r="P101" s="190"/>
      <c r="Q101" s="190"/>
      <c r="R101" s="190"/>
      <c r="S101" s="190"/>
      <c r="T101" s="190"/>
      <c r="U101" s="190"/>
      <c r="V101" s="190"/>
      <c r="W101" s="190"/>
      <c r="X101" s="190" t="s">
        <v>207</v>
      </c>
      <c r="Y101" s="190"/>
      <c r="Z101" s="190"/>
      <c r="AA101" s="190"/>
      <c r="AB101" s="190"/>
      <c r="AC101" s="190"/>
      <c r="AD101" s="190"/>
      <c r="AE101" s="190"/>
      <c r="AF101" s="190"/>
      <c r="AG101" s="190"/>
      <c r="AH101" s="190"/>
      <c r="AI101" s="190"/>
      <c r="AJ101" s="190"/>
      <c r="AK101" s="190"/>
      <c r="AL101" s="190"/>
      <c r="AM101" s="190"/>
      <c r="AN101" s="190"/>
      <c r="AO101" s="190"/>
      <c r="AP101" s="190"/>
      <c r="AQ101" s="190"/>
      <c r="AR101" s="190"/>
      <c r="AS101" s="190"/>
      <c r="AT101" s="190"/>
      <c r="AU101" s="190"/>
      <c r="AV101" s="190"/>
      <c r="AW101" s="190"/>
      <c r="AX101" s="190"/>
      <c r="AY101" s="190"/>
      <c r="AZ101" s="190"/>
      <c r="BA101" s="190"/>
      <c r="BB101" s="190"/>
      <c r="BC101" s="190"/>
      <c r="BD101" s="190"/>
      <c r="BE101" s="190"/>
      <c r="BF101" s="190"/>
      <c r="BG101" s="190"/>
      <c r="BH101" s="190"/>
      <c r="BI101" s="190"/>
      <c r="BJ101" s="190"/>
      <c r="BK101" s="190"/>
      <c r="BL101" s="190"/>
      <c r="BM101" s="190"/>
      <c r="BN101" s="190"/>
      <c r="BO101" s="190"/>
      <c r="BP101" s="190"/>
      <c r="BQ101" s="190"/>
      <c r="BR101" s="190"/>
      <c r="BS101" s="190"/>
      <c r="BT101" s="190"/>
      <c r="BU101" s="190"/>
      <c r="BV101" s="190"/>
      <c r="BW101" s="190"/>
      <c r="BX101" s="190"/>
      <c r="BY101" s="190"/>
      <c r="BZ101" s="190"/>
      <c r="CA101" s="190"/>
      <c r="CB101" s="190"/>
      <c r="CC101" s="190"/>
      <c r="CD101" s="190"/>
      <c r="CE101" s="190"/>
      <c r="CF101" s="190"/>
      <c r="CG101" s="190"/>
      <c r="CH101" s="190"/>
      <c r="CI101" s="190"/>
      <c r="CJ101" s="190"/>
      <c r="CK101" s="190"/>
      <c r="CL101" s="190"/>
      <c r="CM101" s="190"/>
      <c r="CN101" s="190"/>
      <c r="CO101" s="190"/>
    </row>
    <row r="102" spans="1:140" ht="21" customHeight="1" x14ac:dyDescent="0.35">
      <c r="A102" s="135" t="s">
        <v>162</v>
      </c>
      <c r="B102" s="135"/>
      <c r="C102" s="135"/>
      <c r="D102" s="135"/>
      <c r="E102" s="135"/>
      <c r="F102" s="135"/>
      <c r="G102" s="135"/>
      <c r="H102" s="135"/>
      <c r="I102" s="135"/>
      <c r="J102" s="135"/>
      <c r="K102" s="135"/>
      <c r="L102" s="135"/>
      <c r="M102" s="135"/>
      <c r="N102" s="190" t="s">
        <v>207</v>
      </c>
      <c r="O102" s="190"/>
      <c r="P102" s="190"/>
      <c r="Q102" s="190"/>
      <c r="R102" s="190"/>
      <c r="S102" s="190"/>
      <c r="T102" s="190"/>
      <c r="U102" s="190"/>
      <c r="V102" s="190"/>
      <c r="W102" s="190"/>
      <c r="X102" s="190" t="s">
        <v>207</v>
      </c>
      <c r="Y102" s="190"/>
      <c r="Z102" s="190"/>
      <c r="AA102" s="190"/>
      <c r="AB102" s="190"/>
      <c r="AC102" s="190"/>
      <c r="AD102" s="190"/>
      <c r="AE102" s="190"/>
      <c r="AF102" s="190"/>
      <c r="AG102" s="190"/>
      <c r="AH102" s="190"/>
      <c r="AI102" s="190"/>
      <c r="AJ102" s="190"/>
      <c r="AK102" s="190"/>
      <c r="AL102" s="190"/>
      <c r="AM102" s="190"/>
      <c r="AN102" s="190"/>
      <c r="AO102" s="190"/>
      <c r="AP102" s="190"/>
      <c r="AQ102" s="190"/>
      <c r="AR102" s="190"/>
      <c r="AS102" s="190"/>
      <c r="AT102" s="190"/>
      <c r="AU102" s="190"/>
      <c r="AV102" s="190"/>
      <c r="AW102" s="190"/>
      <c r="AX102" s="190"/>
      <c r="AY102" s="190"/>
      <c r="AZ102" s="190"/>
      <c r="BA102" s="190"/>
      <c r="BB102" s="190"/>
      <c r="BC102" s="190"/>
      <c r="BD102" s="190"/>
      <c r="BE102" s="190"/>
      <c r="BF102" s="190"/>
      <c r="BG102" s="190"/>
      <c r="BH102" s="190"/>
      <c r="BI102" s="190"/>
      <c r="BJ102" s="190"/>
      <c r="BK102" s="190"/>
      <c r="BL102" s="190"/>
      <c r="BM102" s="190"/>
      <c r="BN102" s="190"/>
      <c r="BO102" s="190"/>
      <c r="BP102" s="190"/>
      <c r="BQ102" s="190"/>
      <c r="BR102" s="190"/>
      <c r="BS102" s="190"/>
      <c r="BT102" s="190"/>
      <c r="BU102" s="190"/>
      <c r="BV102" s="190"/>
      <c r="BW102" s="190"/>
      <c r="BX102" s="190"/>
      <c r="BY102" s="190"/>
      <c r="BZ102" s="190"/>
      <c r="CA102" s="190"/>
      <c r="CB102" s="190"/>
      <c r="CC102" s="190"/>
      <c r="CD102" s="190"/>
      <c r="CE102" s="190"/>
      <c r="CF102" s="190"/>
      <c r="CG102" s="190"/>
      <c r="CH102" s="190"/>
      <c r="CI102" s="190"/>
      <c r="CJ102" s="190"/>
      <c r="CK102" s="190"/>
      <c r="CL102" s="190"/>
      <c r="CM102" s="190"/>
      <c r="CN102" s="190"/>
      <c r="CO102" s="190"/>
    </row>
    <row r="103" spans="1:140" ht="21" customHeight="1" x14ac:dyDescent="0.35">
      <c r="A103" s="135" t="s">
        <v>142</v>
      </c>
      <c r="B103" s="135"/>
      <c r="C103" s="135"/>
      <c r="D103" s="135"/>
      <c r="E103" s="135"/>
      <c r="F103" s="135"/>
      <c r="G103" s="135"/>
      <c r="H103" s="135"/>
      <c r="I103" s="135"/>
      <c r="J103" s="135"/>
      <c r="K103" s="135"/>
      <c r="L103" s="135"/>
      <c r="M103" s="135"/>
      <c r="N103" s="190" t="s">
        <v>207</v>
      </c>
      <c r="O103" s="190"/>
      <c r="P103" s="190"/>
      <c r="Q103" s="190"/>
      <c r="R103" s="190"/>
      <c r="S103" s="190"/>
      <c r="T103" s="190"/>
      <c r="U103" s="190"/>
      <c r="V103" s="190"/>
      <c r="W103" s="190"/>
      <c r="X103" s="190" t="s">
        <v>207</v>
      </c>
      <c r="Y103" s="190"/>
      <c r="Z103" s="190"/>
      <c r="AA103" s="190"/>
      <c r="AB103" s="190"/>
      <c r="AC103" s="190"/>
      <c r="AD103" s="190"/>
      <c r="AE103" s="190"/>
      <c r="AF103" s="190"/>
      <c r="AG103" s="190"/>
      <c r="AH103" s="190"/>
      <c r="AI103" s="190"/>
      <c r="AJ103" s="190"/>
      <c r="AK103" s="190"/>
      <c r="AL103" s="190"/>
      <c r="AM103" s="190"/>
      <c r="AN103" s="190"/>
      <c r="AO103" s="190"/>
      <c r="AP103" s="190"/>
      <c r="AQ103" s="190"/>
      <c r="AR103" s="190"/>
      <c r="AS103" s="190"/>
      <c r="AT103" s="190"/>
      <c r="AU103" s="190"/>
      <c r="AV103" s="190"/>
      <c r="AW103" s="190"/>
      <c r="AX103" s="190"/>
      <c r="AY103" s="190"/>
      <c r="AZ103" s="190"/>
      <c r="BA103" s="190"/>
      <c r="BB103" s="190"/>
      <c r="BC103" s="190"/>
      <c r="BD103" s="190"/>
      <c r="BE103" s="190"/>
      <c r="BF103" s="190"/>
      <c r="BG103" s="190"/>
      <c r="BH103" s="190"/>
      <c r="BI103" s="190"/>
      <c r="BJ103" s="190"/>
      <c r="BK103" s="190"/>
      <c r="BL103" s="190"/>
      <c r="BM103" s="190"/>
      <c r="BN103" s="190"/>
      <c r="BO103" s="190"/>
      <c r="BP103" s="190"/>
      <c r="BQ103" s="190"/>
      <c r="BR103" s="190"/>
      <c r="BS103" s="190"/>
      <c r="BT103" s="190"/>
      <c r="BU103" s="190"/>
      <c r="BV103" s="190"/>
      <c r="BW103" s="190"/>
      <c r="BX103" s="190"/>
      <c r="BY103" s="190"/>
      <c r="BZ103" s="190"/>
      <c r="CA103" s="190"/>
      <c r="CB103" s="190"/>
      <c r="CC103" s="190"/>
      <c r="CD103" s="190"/>
      <c r="CE103" s="190"/>
      <c r="CF103" s="190"/>
      <c r="CG103" s="190"/>
      <c r="CH103" s="190"/>
      <c r="CI103" s="190"/>
      <c r="CJ103" s="190"/>
      <c r="CK103" s="190"/>
      <c r="CL103" s="190"/>
      <c r="CM103" s="190"/>
      <c r="CN103" s="190"/>
      <c r="CO103" s="190"/>
    </row>
    <row r="104" spans="1:140" ht="21" customHeight="1" x14ac:dyDescent="0.35">
      <c r="A104" s="135" t="s">
        <v>143</v>
      </c>
      <c r="B104" s="135"/>
      <c r="C104" s="135"/>
      <c r="D104" s="135"/>
      <c r="E104" s="135"/>
      <c r="F104" s="135"/>
      <c r="G104" s="135"/>
      <c r="H104" s="135"/>
      <c r="I104" s="135"/>
      <c r="J104" s="135"/>
      <c r="K104" s="135"/>
      <c r="L104" s="135"/>
      <c r="M104" s="135"/>
      <c r="N104" s="190" t="s">
        <v>207</v>
      </c>
      <c r="O104" s="190"/>
      <c r="P104" s="190"/>
      <c r="Q104" s="190"/>
      <c r="R104" s="190"/>
      <c r="S104" s="190"/>
      <c r="T104" s="190"/>
      <c r="U104" s="190"/>
      <c r="V104" s="190"/>
      <c r="W104" s="190"/>
      <c r="X104" s="190" t="s">
        <v>207</v>
      </c>
      <c r="Y104" s="190"/>
      <c r="Z104" s="190"/>
      <c r="AA104" s="190"/>
      <c r="AB104" s="190"/>
      <c r="AC104" s="190"/>
      <c r="AD104" s="190"/>
      <c r="AE104" s="190"/>
      <c r="AF104" s="190"/>
      <c r="AG104" s="190"/>
      <c r="AH104" s="190"/>
      <c r="AI104" s="190"/>
      <c r="AJ104" s="190"/>
      <c r="AK104" s="190"/>
      <c r="AL104" s="190"/>
      <c r="AM104" s="190"/>
      <c r="AN104" s="190"/>
      <c r="AO104" s="190"/>
      <c r="AP104" s="190"/>
      <c r="AQ104" s="190"/>
      <c r="AR104" s="190"/>
      <c r="AS104" s="190"/>
      <c r="AT104" s="190"/>
      <c r="AU104" s="190"/>
      <c r="AV104" s="190"/>
      <c r="AW104" s="190"/>
      <c r="AX104" s="190"/>
      <c r="AY104" s="190"/>
      <c r="AZ104" s="190"/>
      <c r="BA104" s="190"/>
      <c r="BB104" s="190"/>
      <c r="BC104" s="190"/>
      <c r="BD104" s="190"/>
      <c r="BE104" s="190"/>
      <c r="BF104" s="190"/>
      <c r="BG104" s="190"/>
      <c r="BH104" s="190"/>
      <c r="BI104" s="190"/>
      <c r="BJ104" s="190"/>
      <c r="BK104" s="190"/>
      <c r="BL104" s="190"/>
      <c r="BM104" s="190"/>
      <c r="BN104" s="190"/>
      <c r="BO104" s="190"/>
      <c r="BP104" s="190"/>
      <c r="BQ104" s="190"/>
      <c r="BR104" s="190"/>
      <c r="BS104" s="190"/>
      <c r="BT104" s="190"/>
      <c r="BU104" s="190"/>
      <c r="BV104" s="190"/>
      <c r="BW104" s="190"/>
      <c r="BX104" s="190"/>
      <c r="BY104" s="190"/>
      <c r="BZ104" s="190"/>
      <c r="CA104" s="190"/>
      <c r="CB104" s="190"/>
      <c r="CC104" s="190"/>
      <c r="CD104" s="190"/>
      <c r="CE104" s="190"/>
      <c r="CF104" s="190"/>
      <c r="CG104" s="190"/>
      <c r="CH104" s="190"/>
      <c r="CI104" s="190"/>
      <c r="CJ104" s="190"/>
      <c r="CK104" s="190"/>
      <c r="CL104" s="190"/>
      <c r="CM104" s="190"/>
      <c r="CN104" s="190"/>
      <c r="CO104" s="190"/>
    </row>
    <row r="105" spans="1:140" ht="21" customHeight="1" x14ac:dyDescent="0.35">
      <c r="A105" s="135" t="s">
        <v>144</v>
      </c>
      <c r="B105" s="135"/>
      <c r="C105" s="135"/>
      <c r="D105" s="135"/>
      <c r="E105" s="135"/>
      <c r="F105" s="135"/>
      <c r="G105" s="135"/>
      <c r="H105" s="135"/>
      <c r="I105" s="135"/>
      <c r="J105" s="135"/>
      <c r="K105" s="135"/>
      <c r="L105" s="135"/>
      <c r="M105" s="135"/>
      <c r="N105" s="260"/>
      <c r="O105" s="261"/>
      <c r="P105" s="261"/>
      <c r="Q105" s="261"/>
      <c r="R105" s="261"/>
      <c r="S105" s="261"/>
      <c r="T105" s="261"/>
      <c r="U105" s="261"/>
      <c r="V105" s="261"/>
      <c r="W105" s="261"/>
      <c r="X105" s="261"/>
      <c r="Y105" s="261"/>
      <c r="Z105" s="261"/>
      <c r="AA105" s="261"/>
      <c r="AB105" s="261"/>
      <c r="AC105" s="261"/>
      <c r="AD105" s="261"/>
      <c r="AE105" s="261"/>
      <c r="AF105" s="261"/>
      <c r="AG105" s="262"/>
      <c r="AH105" s="260"/>
      <c r="AI105" s="261"/>
      <c r="AJ105" s="261"/>
      <c r="AK105" s="261"/>
      <c r="AL105" s="261"/>
      <c r="AM105" s="261"/>
      <c r="AN105" s="261"/>
      <c r="AO105" s="261"/>
      <c r="AP105" s="261"/>
      <c r="AQ105" s="261"/>
      <c r="AR105" s="175"/>
      <c r="AS105" s="175"/>
      <c r="AT105" s="175"/>
      <c r="AU105" s="175"/>
      <c r="AV105" s="175"/>
      <c r="AW105" s="175"/>
      <c r="AX105" s="175"/>
      <c r="AY105" s="175"/>
      <c r="AZ105" s="175"/>
      <c r="BA105" s="176"/>
      <c r="BB105" s="260"/>
      <c r="BC105" s="261"/>
      <c r="BD105" s="261"/>
      <c r="BE105" s="261"/>
      <c r="BF105" s="261"/>
      <c r="BG105" s="261"/>
      <c r="BH105" s="261"/>
      <c r="BI105" s="261"/>
      <c r="BJ105" s="261"/>
      <c r="BK105" s="261"/>
      <c r="BL105" s="175"/>
      <c r="BM105" s="175"/>
      <c r="BN105" s="175"/>
      <c r="BO105" s="175"/>
      <c r="BP105" s="175"/>
      <c r="BQ105" s="175"/>
      <c r="BR105" s="175"/>
      <c r="BS105" s="175"/>
      <c r="BT105" s="175"/>
      <c r="BU105" s="176"/>
      <c r="BV105" s="260"/>
      <c r="BW105" s="261"/>
      <c r="BX105" s="261"/>
      <c r="BY105" s="261"/>
      <c r="BZ105" s="261"/>
      <c r="CA105" s="261"/>
      <c r="CB105" s="261"/>
      <c r="CC105" s="261"/>
      <c r="CD105" s="261"/>
      <c r="CE105" s="261"/>
      <c r="CF105" s="175"/>
      <c r="CG105" s="175"/>
      <c r="CH105" s="175"/>
      <c r="CI105" s="175"/>
      <c r="CJ105" s="175"/>
      <c r="CK105" s="175"/>
      <c r="CL105" s="175"/>
      <c r="CM105" s="175"/>
      <c r="CN105" s="175"/>
      <c r="CO105" s="176"/>
    </row>
    <row r="106" spans="1:140" ht="21" customHeight="1" x14ac:dyDescent="0.35">
      <c r="A106" s="135" t="s">
        <v>145</v>
      </c>
      <c r="B106" s="135"/>
      <c r="C106" s="135"/>
      <c r="D106" s="135"/>
      <c r="E106" s="135"/>
      <c r="F106" s="135"/>
      <c r="G106" s="135"/>
      <c r="H106" s="135"/>
      <c r="I106" s="135"/>
      <c r="J106" s="135"/>
      <c r="K106" s="135"/>
      <c r="L106" s="135"/>
      <c r="M106" s="135"/>
      <c r="N106" s="181"/>
      <c r="O106" s="175"/>
      <c r="P106" s="175"/>
      <c r="Q106" s="175"/>
      <c r="R106" s="175"/>
      <c r="S106" s="175"/>
      <c r="T106" s="175"/>
      <c r="U106" s="175"/>
      <c r="V106" s="175"/>
      <c r="W106" s="175"/>
      <c r="X106" s="175"/>
      <c r="Y106" s="175"/>
      <c r="Z106" s="175"/>
      <c r="AA106" s="175"/>
      <c r="AB106" s="175"/>
      <c r="AC106" s="175"/>
      <c r="AD106" s="175"/>
      <c r="AE106" s="175"/>
      <c r="AF106" s="175"/>
      <c r="AG106" s="176"/>
      <c r="AH106" s="181"/>
      <c r="AI106" s="175"/>
      <c r="AJ106" s="175"/>
      <c r="AK106" s="175"/>
      <c r="AL106" s="175"/>
      <c r="AM106" s="175"/>
      <c r="AN106" s="175"/>
      <c r="AO106" s="175"/>
      <c r="AP106" s="175"/>
      <c r="AQ106" s="175"/>
      <c r="AR106" s="175"/>
      <c r="AS106" s="175"/>
      <c r="AT106" s="175"/>
      <c r="AU106" s="175"/>
      <c r="AV106" s="175"/>
      <c r="AW106" s="175"/>
      <c r="AX106" s="175"/>
      <c r="AY106" s="175"/>
      <c r="AZ106" s="175"/>
      <c r="BA106" s="176"/>
      <c r="BB106" s="181"/>
      <c r="BC106" s="175"/>
      <c r="BD106" s="175"/>
      <c r="BE106" s="175"/>
      <c r="BF106" s="175"/>
      <c r="BG106" s="175"/>
      <c r="BH106" s="175"/>
      <c r="BI106" s="175"/>
      <c r="BJ106" s="175"/>
      <c r="BK106" s="175"/>
      <c r="BL106" s="175"/>
      <c r="BM106" s="175"/>
      <c r="BN106" s="175"/>
      <c r="BO106" s="175"/>
      <c r="BP106" s="175"/>
      <c r="BQ106" s="175"/>
      <c r="BR106" s="175"/>
      <c r="BS106" s="175"/>
      <c r="BT106" s="175"/>
      <c r="BU106" s="176"/>
      <c r="BV106" s="181"/>
      <c r="BW106" s="175"/>
      <c r="BX106" s="175"/>
      <c r="BY106" s="175"/>
      <c r="BZ106" s="175"/>
      <c r="CA106" s="175"/>
      <c r="CB106" s="175"/>
      <c r="CC106" s="175"/>
      <c r="CD106" s="175"/>
      <c r="CE106" s="175"/>
      <c r="CF106" s="175"/>
      <c r="CG106" s="175"/>
      <c r="CH106" s="175"/>
      <c r="CI106" s="175"/>
      <c r="CJ106" s="175"/>
      <c r="CK106" s="175"/>
      <c r="CL106" s="175"/>
      <c r="CM106" s="175"/>
      <c r="CN106" s="175"/>
      <c r="CO106" s="176"/>
    </row>
    <row r="107" spans="1:140" ht="21" customHeight="1" x14ac:dyDescent="0.35">
      <c r="A107" s="135" t="s">
        <v>146</v>
      </c>
      <c r="B107" s="135"/>
      <c r="C107" s="135"/>
      <c r="D107" s="135"/>
      <c r="E107" s="135"/>
      <c r="F107" s="135"/>
      <c r="G107" s="135"/>
      <c r="H107" s="135"/>
      <c r="I107" s="135"/>
      <c r="J107" s="135"/>
      <c r="K107" s="135"/>
      <c r="L107" s="135"/>
      <c r="M107" s="135"/>
      <c r="N107" s="181" t="s">
        <v>210</v>
      </c>
      <c r="O107" s="175"/>
      <c r="P107" s="175"/>
      <c r="Q107" s="175"/>
      <c r="R107" s="175"/>
      <c r="S107" s="175"/>
      <c r="T107" s="175"/>
      <c r="U107" s="175"/>
      <c r="V107" s="175"/>
      <c r="W107" s="175"/>
      <c r="X107" s="175"/>
      <c r="Y107" s="175"/>
      <c r="Z107" s="175"/>
      <c r="AA107" s="175"/>
      <c r="AB107" s="175"/>
      <c r="AC107" s="175"/>
      <c r="AD107" s="175"/>
      <c r="AE107" s="175"/>
      <c r="AF107" s="175"/>
      <c r="AG107" s="176"/>
      <c r="AH107" s="181"/>
      <c r="AI107" s="175"/>
      <c r="AJ107" s="175"/>
      <c r="AK107" s="175"/>
      <c r="AL107" s="175"/>
      <c r="AM107" s="175"/>
      <c r="AN107" s="175"/>
      <c r="AO107" s="175"/>
      <c r="AP107" s="175"/>
      <c r="AQ107" s="175"/>
      <c r="AR107" s="175"/>
      <c r="AS107" s="175"/>
      <c r="AT107" s="175"/>
      <c r="AU107" s="175"/>
      <c r="AV107" s="175"/>
      <c r="AW107" s="175"/>
      <c r="AX107" s="175"/>
      <c r="AY107" s="175"/>
      <c r="AZ107" s="175"/>
      <c r="BA107" s="176"/>
      <c r="BB107" s="181"/>
      <c r="BC107" s="175"/>
      <c r="BD107" s="175"/>
      <c r="BE107" s="175"/>
      <c r="BF107" s="175"/>
      <c r="BG107" s="175"/>
      <c r="BH107" s="175"/>
      <c r="BI107" s="175"/>
      <c r="BJ107" s="175"/>
      <c r="BK107" s="175"/>
      <c r="BL107" s="175"/>
      <c r="BM107" s="175"/>
      <c r="BN107" s="175"/>
      <c r="BO107" s="175"/>
      <c r="BP107" s="175"/>
      <c r="BQ107" s="175"/>
      <c r="BR107" s="175"/>
      <c r="BS107" s="175"/>
      <c r="BT107" s="175"/>
      <c r="BU107" s="176"/>
      <c r="BV107" s="181"/>
      <c r="BW107" s="175"/>
      <c r="BX107" s="175"/>
      <c r="BY107" s="175"/>
      <c r="BZ107" s="175"/>
      <c r="CA107" s="175"/>
      <c r="CB107" s="175"/>
      <c r="CC107" s="175"/>
      <c r="CD107" s="175"/>
      <c r="CE107" s="175"/>
      <c r="CF107" s="175"/>
      <c r="CG107" s="175"/>
      <c r="CH107" s="175"/>
      <c r="CI107" s="175"/>
      <c r="CJ107" s="175"/>
      <c r="CK107" s="175"/>
      <c r="CL107" s="175"/>
      <c r="CM107" s="175"/>
      <c r="CN107" s="175"/>
      <c r="CO107" s="176"/>
    </row>
    <row r="108" spans="1:140" s="1" customFormat="1" ht="16" customHeight="1" x14ac:dyDescent="0.35">
      <c r="A108" s="23"/>
      <c r="B108" s="23"/>
      <c r="C108" s="24"/>
      <c r="D108" s="24"/>
      <c r="E108" s="24"/>
      <c r="F108" s="24"/>
      <c r="G108" s="24"/>
      <c r="H108" s="24"/>
      <c r="I108" s="24"/>
      <c r="J108" s="24"/>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3"/>
      <c r="AV108" s="16"/>
      <c r="AW108" s="16"/>
      <c r="AX108" s="16"/>
      <c r="AY108" s="16"/>
      <c r="AZ108" s="16"/>
      <c r="BA108" s="16"/>
      <c r="BB108" s="16"/>
      <c r="BC108" s="16"/>
      <c r="BD108" s="16"/>
      <c r="BE108" s="16"/>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25" t="s">
        <v>219</v>
      </c>
      <c r="CI108" s="125"/>
      <c r="CJ108" s="125"/>
      <c r="CK108" s="125"/>
      <c r="CL108" s="125"/>
      <c r="CM108" s="125"/>
      <c r="CN108" s="125"/>
      <c r="CO108" s="125"/>
      <c r="EJ108" s="13"/>
    </row>
    <row r="109" spans="1:140" s="1" customFormat="1" ht="15" customHeight="1" x14ac:dyDescent="0.3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8"/>
      <c r="BH109" s="8"/>
      <c r="BI109" s="8"/>
      <c r="BJ109" s="8"/>
      <c r="BK109" s="13"/>
      <c r="BS109" s="13"/>
      <c r="BT109" s="194" t="s">
        <v>87</v>
      </c>
      <c r="BU109" s="194"/>
      <c r="BV109" s="194"/>
      <c r="BW109" s="194"/>
      <c r="BX109" s="194"/>
      <c r="BY109" s="194"/>
      <c r="BZ109" s="54" t="str">
        <f>BZ67</f>
        <v>0516/01</v>
      </c>
      <c r="CE109" s="18"/>
      <c r="CF109" s="18"/>
      <c r="CG109" s="18"/>
      <c r="CH109" s="18"/>
      <c r="CI109" s="18"/>
      <c r="CJ109" s="18"/>
      <c r="CK109" s="18"/>
      <c r="CL109" s="18"/>
      <c r="CM109" s="18"/>
      <c r="CN109" s="18"/>
      <c r="CO109" s="18"/>
      <c r="EJ109" s="13"/>
    </row>
    <row r="110" spans="1:140" s="1" customFormat="1" ht="19.5" customHeight="1" x14ac:dyDescent="0.3">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78" t="s">
        <v>89</v>
      </c>
      <c r="AD110" s="178"/>
      <c r="AE110" s="178"/>
      <c r="AF110" s="178"/>
      <c r="AG110" s="178"/>
      <c r="AH110" s="178"/>
      <c r="AI110" s="178"/>
      <c r="AJ110" s="178"/>
      <c r="AK110" s="178"/>
      <c r="AL110" s="178"/>
      <c r="AM110" s="178"/>
      <c r="AN110" s="178"/>
      <c r="AO110" s="178"/>
      <c r="AP110" s="178"/>
      <c r="AQ110" s="178"/>
      <c r="AR110" s="178"/>
      <c r="AS110" s="178"/>
      <c r="AT110" s="178"/>
      <c r="AU110" s="178"/>
      <c r="AV110" s="178"/>
      <c r="AW110" s="178"/>
      <c r="AX110" s="178"/>
      <c r="AY110" s="178"/>
      <c r="AZ110" s="178"/>
      <c r="BA110" s="178"/>
      <c r="BB110" s="178"/>
      <c r="BC110" s="178"/>
      <c r="BD110" s="178"/>
      <c r="BE110" s="178"/>
      <c r="BF110" s="178"/>
      <c r="BG110" s="178"/>
      <c r="BH110" s="178"/>
      <c r="BI110" s="178"/>
      <c r="BJ110" s="178"/>
      <c r="BK110" s="178"/>
      <c r="BL110" s="178"/>
      <c r="BM110" s="14"/>
      <c r="BN110" s="13"/>
      <c r="BO110" s="13"/>
      <c r="BP110" s="13"/>
      <c r="BQ110" s="13"/>
      <c r="BR110" s="13"/>
      <c r="BS110" s="13"/>
      <c r="BT110" s="13"/>
      <c r="BU110" s="13"/>
      <c r="BX110" s="21"/>
      <c r="BY110" s="21"/>
      <c r="BZ110" s="218" t="s">
        <v>221</v>
      </c>
      <c r="CA110" s="218"/>
      <c r="CB110" s="218"/>
      <c r="CC110" s="218"/>
      <c r="CD110" s="218"/>
      <c r="CE110" s="219">
        <f>CE68</f>
        <v>0</v>
      </c>
      <c r="CF110" s="219"/>
      <c r="CG110" s="219"/>
      <c r="CH110" s="219"/>
      <c r="CI110" s="219"/>
      <c r="CJ110" s="219"/>
      <c r="CK110" s="219"/>
      <c r="CL110" s="219"/>
      <c r="CM110" s="219"/>
      <c r="CN110" s="219"/>
      <c r="CO110" s="219"/>
      <c r="EJ110" s="13"/>
    </row>
    <row r="111" spans="1:140" s="1" customFormat="1" ht="6" customHeight="1" x14ac:dyDescent="0.35">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178"/>
      <c r="AD111" s="178"/>
      <c r="AE111" s="178"/>
      <c r="AF111" s="178"/>
      <c r="AG111" s="178"/>
      <c r="AH111" s="178"/>
      <c r="AI111" s="178"/>
      <c r="AJ111" s="178"/>
      <c r="AK111" s="178"/>
      <c r="AL111" s="178"/>
      <c r="AM111" s="178"/>
      <c r="AN111" s="178"/>
      <c r="AO111" s="178"/>
      <c r="AP111" s="178"/>
      <c r="AQ111" s="178"/>
      <c r="AR111" s="178"/>
      <c r="AS111" s="178"/>
      <c r="AT111" s="178"/>
      <c r="AU111" s="178"/>
      <c r="AV111" s="178"/>
      <c r="AW111" s="178"/>
      <c r="AX111" s="178"/>
      <c r="AY111" s="178"/>
      <c r="AZ111" s="178"/>
      <c r="BA111" s="178"/>
      <c r="BB111" s="178"/>
      <c r="BC111" s="178"/>
      <c r="BD111" s="178"/>
      <c r="BE111" s="178"/>
      <c r="BF111" s="178"/>
      <c r="BG111" s="178"/>
      <c r="BH111" s="178"/>
      <c r="BI111" s="178"/>
      <c r="BJ111" s="178"/>
      <c r="BK111" s="178"/>
      <c r="BL111" s="178"/>
      <c r="BM111" s="14"/>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EJ111" s="13"/>
    </row>
    <row r="112" spans="1:140" s="1" customFormat="1" ht="3" customHeight="1" x14ac:dyDescent="0.35">
      <c r="A112" s="220"/>
      <c r="B112" s="220"/>
      <c r="C112" s="220"/>
      <c r="D112" s="220"/>
      <c r="E112" s="220"/>
      <c r="F112" s="220"/>
      <c r="G112" s="220"/>
      <c r="H112" s="220"/>
      <c r="I112" s="220"/>
      <c r="J112" s="220"/>
      <c r="K112" s="220"/>
      <c r="L112" s="220"/>
      <c r="M112" s="220"/>
      <c r="N112" s="220"/>
      <c r="O112" s="220"/>
      <c r="P112" s="220"/>
      <c r="Q112" s="220"/>
      <c r="R112" s="220"/>
      <c r="S112" s="220"/>
      <c r="T112" s="220"/>
      <c r="U112" s="220"/>
      <c r="V112" s="220"/>
      <c r="W112" s="220"/>
      <c r="X112" s="220"/>
      <c r="Y112" s="220"/>
      <c r="Z112" s="220"/>
      <c r="AA112" s="220"/>
      <c r="AB112" s="220"/>
      <c r="AC112" s="220"/>
      <c r="AD112" s="220"/>
      <c r="AE112" s="220"/>
      <c r="AF112" s="220"/>
      <c r="AG112" s="220"/>
      <c r="AH112" s="220"/>
      <c r="AI112" s="220"/>
      <c r="AJ112" s="220"/>
      <c r="AK112" s="220"/>
      <c r="AL112" s="220"/>
      <c r="AM112" s="220"/>
      <c r="AN112" s="220"/>
      <c r="AO112" s="220"/>
      <c r="AP112" s="220"/>
      <c r="AQ112" s="220"/>
      <c r="AR112" s="220"/>
      <c r="AS112" s="220"/>
      <c r="AT112" s="220"/>
      <c r="AU112" s="220"/>
      <c r="AV112" s="220"/>
      <c r="AW112" s="220"/>
      <c r="AX112" s="220"/>
      <c r="AY112" s="220"/>
      <c r="AZ112" s="220"/>
      <c r="BA112" s="220"/>
      <c r="BB112" s="220"/>
      <c r="BC112" s="220"/>
      <c r="BD112" s="220"/>
      <c r="BE112" s="220"/>
      <c r="BF112" s="220"/>
      <c r="BG112" s="220"/>
      <c r="BH112" s="220"/>
      <c r="BI112" s="220"/>
      <c r="BJ112" s="220"/>
      <c r="BK112" s="220"/>
      <c r="BL112" s="220"/>
      <c r="BM112" s="220"/>
      <c r="BN112" s="220"/>
      <c r="BO112" s="220"/>
      <c r="BP112" s="220"/>
      <c r="BQ112" s="220"/>
      <c r="BR112" s="220"/>
      <c r="BS112" s="220"/>
      <c r="BT112" s="220"/>
      <c r="BU112" s="220"/>
      <c r="BV112" s="220"/>
      <c r="BW112" s="220"/>
      <c r="BX112" s="220"/>
      <c r="BY112" s="220"/>
      <c r="BZ112" s="220"/>
      <c r="CA112" s="220"/>
      <c r="CB112" s="220"/>
      <c r="CC112" s="220"/>
      <c r="CD112" s="220"/>
      <c r="CE112" s="220"/>
      <c r="CF112" s="220"/>
      <c r="CG112" s="220"/>
      <c r="CH112" s="220"/>
      <c r="CI112" s="220"/>
      <c r="CJ112" s="220"/>
      <c r="CK112" s="220"/>
      <c r="CL112" s="220"/>
      <c r="CM112" s="220"/>
      <c r="CN112" s="220"/>
      <c r="CO112" s="220"/>
      <c r="EJ112" s="13"/>
    </row>
    <row r="113" spans="1:140" s="1" customFormat="1" ht="13" customHeight="1" x14ac:dyDescent="0.35">
      <c r="A113" s="276" t="s">
        <v>220</v>
      </c>
      <c r="B113" s="276"/>
      <c r="C113" s="276"/>
      <c r="D113" s="276"/>
      <c r="E113" s="276"/>
      <c r="F113" s="276"/>
      <c r="G113" s="179">
        <f>G71</f>
        <v>0</v>
      </c>
      <c r="H113" s="179"/>
      <c r="I113" s="179"/>
      <c r="J113" s="179"/>
      <c r="K113" s="179"/>
      <c r="L113" s="179"/>
      <c r="M113" s="179"/>
      <c r="N113" s="179"/>
      <c r="O113" s="179"/>
      <c r="P113" s="179"/>
      <c r="Q113" s="179"/>
      <c r="R113" s="179"/>
      <c r="S113" s="179"/>
      <c r="T113" s="31"/>
      <c r="U113" s="180" t="str">
        <f>U71</f>
        <v>Existing CD:</v>
      </c>
      <c r="V113" s="180"/>
      <c r="W113" s="180"/>
      <c r="X113" s="180"/>
      <c r="Y113" s="180"/>
      <c r="Z113" s="180"/>
      <c r="AA113" s="180"/>
      <c r="AB113" s="180"/>
      <c r="AC113" s="180"/>
      <c r="AD113" s="180"/>
      <c r="AE113" s="180"/>
      <c r="AF113" s="179">
        <f>AF71</f>
        <v>0</v>
      </c>
      <c r="AG113" s="179"/>
      <c r="AH113" s="179"/>
      <c r="AI113" s="179"/>
      <c r="AJ113" s="179"/>
      <c r="AK113" s="179"/>
      <c r="AL113" s="179"/>
      <c r="AM113" s="179"/>
      <c r="AN113" s="179"/>
      <c r="AO113" s="179"/>
      <c r="AS113" s="180" t="str">
        <f>AS71</f>
        <v>Existing CCTR:</v>
      </c>
      <c r="AT113" s="180"/>
      <c r="AU113" s="180"/>
      <c r="AV113" s="180"/>
      <c r="AW113" s="180"/>
      <c r="AX113" s="180"/>
      <c r="AY113" s="180"/>
      <c r="AZ113" s="180"/>
      <c r="BA113" s="180"/>
      <c r="BB113" s="180"/>
      <c r="BC113" s="180"/>
      <c r="BD113" s="180"/>
      <c r="BE113" s="180"/>
      <c r="BF113" s="180"/>
      <c r="BG113" s="179">
        <f>BG71</f>
        <v>0</v>
      </c>
      <c r="BH113" s="179"/>
      <c r="BI113" s="179"/>
      <c r="BJ113" s="179"/>
      <c r="BK113" s="179"/>
      <c r="BL113" s="179"/>
      <c r="BM113" s="179"/>
      <c r="BN113" s="179"/>
      <c r="BO113" s="179"/>
      <c r="BS113" s="180" t="str">
        <f>BS71</f>
        <v>Existing MC:</v>
      </c>
      <c r="BT113" s="180"/>
      <c r="BU113" s="180"/>
      <c r="BV113" s="180"/>
      <c r="BW113" s="180"/>
      <c r="BX113" s="180"/>
      <c r="BY113" s="180"/>
      <c r="BZ113" s="180"/>
      <c r="CA113" s="180"/>
      <c r="CB113" s="180"/>
      <c r="CC113" s="263"/>
      <c r="CD113" s="188" t="str">
        <f>CD71</f>
        <v>-</v>
      </c>
      <c r="CE113" s="188"/>
      <c r="CF113" s="188" t="str">
        <f>CF71</f>
        <v>-</v>
      </c>
      <c r="CG113" s="188"/>
      <c r="CH113" s="188" t="str">
        <f>CH71</f>
        <v>-</v>
      </c>
      <c r="CI113" s="188"/>
      <c r="CJ113" s="188" t="str">
        <f>CJ71</f>
        <v>-</v>
      </c>
      <c r="CK113" s="188"/>
      <c r="CL113" s="188" t="str">
        <f>CL71</f>
        <v>-</v>
      </c>
      <c r="CM113" s="188"/>
      <c r="CN113" s="188" t="str">
        <f>CN71</f>
        <v>-</v>
      </c>
      <c r="CO113" s="188"/>
      <c r="EJ113" s="13"/>
    </row>
    <row r="114" spans="1:140" s="1" customFormat="1" ht="10" customHeight="1" x14ac:dyDescent="0.35">
      <c r="A114" s="22"/>
      <c r="B114" s="22"/>
      <c r="C114" s="22"/>
      <c r="D114" s="22"/>
      <c r="E114" s="22"/>
      <c r="F114" s="22"/>
      <c r="G114" s="27"/>
      <c r="H114" s="27"/>
      <c r="I114" s="27"/>
      <c r="J114" s="27"/>
      <c r="K114" s="27"/>
      <c r="L114" s="27"/>
      <c r="M114" s="27"/>
      <c r="N114" s="27"/>
      <c r="O114" s="27"/>
      <c r="P114" s="27"/>
      <c r="Q114" s="27"/>
      <c r="R114" s="27"/>
      <c r="S114" s="27"/>
      <c r="T114" s="19"/>
      <c r="U114" s="25"/>
      <c r="V114" s="25"/>
      <c r="W114" s="25"/>
      <c r="X114" s="25"/>
      <c r="Y114" s="25"/>
      <c r="Z114" s="25"/>
      <c r="AA114" s="25"/>
      <c r="AB114" s="25"/>
      <c r="AC114" s="25"/>
      <c r="AD114" s="25"/>
      <c r="AE114" s="25"/>
      <c r="AF114" s="26"/>
      <c r="AG114" s="26"/>
      <c r="AH114" s="26"/>
      <c r="AI114" s="26"/>
      <c r="AJ114" s="26"/>
      <c r="AK114" s="26"/>
      <c r="AL114" s="26"/>
      <c r="AM114" s="26"/>
      <c r="AN114" s="28"/>
      <c r="AO114" s="28"/>
      <c r="AP114" s="28"/>
      <c r="AQ114" s="28"/>
      <c r="AR114" s="28"/>
      <c r="AS114" s="29"/>
      <c r="AT114" s="29"/>
      <c r="AU114" s="29"/>
      <c r="AV114" s="29"/>
      <c r="AW114" s="29"/>
      <c r="AX114" s="29"/>
      <c r="AY114" s="29"/>
      <c r="AZ114" s="29"/>
      <c r="BA114" s="29"/>
      <c r="BB114" s="25"/>
      <c r="BC114" s="25"/>
      <c r="BD114" s="25"/>
      <c r="BE114" s="25"/>
      <c r="BF114" s="25"/>
      <c r="BG114" s="25"/>
      <c r="BH114" s="25"/>
      <c r="BI114" s="25"/>
      <c r="BJ114" s="25"/>
      <c r="BK114" s="25"/>
      <c r="BL114" s="25"/>
      <c r="BM114" s="26"/>
      <c r="BN114" s="26"/>
      <c r="BO114" s="26"/>
      <c r="BP114" s="26"/>
      <c r="BQ114" s="26"/>
      <c r="BR114" s="26"/>
      <c r="BS114" s="26"/>
      <c r="BT114" s="26"/>
      <c r="BU114" s="26"/>
      <c r="BV114" s="26"/>
      <c r="BW114" s="26"/>
      <c r="BX114" s="26"/>
      <c r="BY114" s="2"/>
      <c r="BZ114" s="28"/>
      <c r="CA114" s="28"/>
      <c r="CB114" s="28"/>
      <c r="CC114" s="28"/>
      <c r="CD114" s="28"/>
      <c r="CE114" s="30"/>
      <c r="CF114" s="30"/>
      <c r="CG114" s="30"/>
      <c r="CH114" s="30"/>
      <c r="CI114" s="30"/>
      <c r="CJ114" s="30"/>
      <c r="CK114" s="30"/>
      <c r="CL114" s="30"/>
      <c r="CM114" s="30"/>
      <c r="CN114" s="30"/>
      <c r="CO114" s="30"/>
      <c r="EJ114" s="13"/>
    </row>
    <row r="115" spans="1:140" s="1" customFormat="1" ht="13" customHeight="1" x14ac:dyDescent="0.35">
      <c r="A115" s="74" t="s">
        <v>91</v>
      </c>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12"/>
      <c r="AX115" s="74" t="s">
        <v>101</v>
      </c>
      <c r="AY115" s="74"/>
      <c r="AZ115" s="74"/>
      <c r="BA115" s="74"/>
      <c r="BB115" s="74"/>
      <c r="BC115" s="74"/>
      <c r="BD115" s="74"/>
      <c r="BE115" s="74"/>
      <c r="BF115" s="74"/>
      <c r="BG115" s="74"/>
      <c r="BH115" s="74"/>
      <c r="BI115" s="74"/>
      <c r="BJ115" s="74"/>
      <c r="BK115" s="74"/>
      <c r="BL115" s="74"/>
      <c r="BM115" s="74"/>
      <c r="BN115" s="74"/>
      <c r="BO115" s="74"/>
      <c r="BP115" s="74"/>
      <c r="BQ115" s="74"/>
      <c r="BR115" s="74"/>
      <c r="BS115" s="74"/>
      <c r="BT115" s="74"/>
      <c r="BU115" s="74"/>
      <c r="BV115" s="74"/>
      <c r="BW115" s="74"/>
      <c r="BX115" s="74"/>
      <c r="BY115" s="74"/>
      <c r="BZ115" s="74"/>
      <c r="CA115" s="74"/>
      <c r="CB115" s="74"/>
      <c r="CC115" s="74"/>
      <c r="CD115" s="74"/>
      <c r="CE115" s="74"/>
      <c r="CF115" s="74"/>
      <c r="CG115" s="74"/>
      <c r="CH115" s="74"/>
      <c r="CI115" s="74"/>
      <c r="CJ115" s="74"/>
      <c r="CK115" s="74"/>
      <c r="CL115" s="74"/>
      <c r="CM115" s="74"/>
      <c r="CN115" s="74"/>
      <c r="CO115" s="74"/>
      <c r="EJ115" s="13"/>
    </row>
    <row r="116" spans="1:140" s="1" customFormat="1" ht="13" customHeight="1" x14ac:dyDescent="0.35">
      <c r="A116" s="202" t="s">
        <v>52</v>
      </c>
      <c r="B116" s="202"/>
      <c r="C116" s="202"/>
      <c r="D116" s="202"/>
      <c r="E116" s="202"/>
      <c r="F116" s="202"/>
      <c r="G116" s="202"/>
      <c r="H116" s="202"/>
      <c r="I116" s="202"/>
      <c r="J116" s="202"/>
      <c r="K116" s="202"/>
      <c r="L116" s="202"/>
      <c r="M116" s="202"/>
      <c r="N116" s="202"/>
      <c r="O116" s="202"/>
      <c r="P116" s="202"/>
      <c r="Q116" s="202" t="s">
        <v>125</v>
      </c>
      <c r="R116" s="202"/>
      <c r="S116" s="202"/>
      <c r="T116" s="202"/>
      <c r="U116" s="202"/>
      <c r="V116" s="202"/>
      <c r="W116" s="202"/>
      <c r="X116" s="202"/>
      <c r="Y116" s="202"/>
      <c r="Z116" s="202"/>
      <c r="AA116" s="202"/>
      <c r="AB116" s="202"/>
      <c r="AC116" s="202"/>
      <c r="AD116" s="202"/>
      <c r="AE116" s="202"/>
      <c r="AF116" s="202"/>
      <c r="AG116" s="202" t="s">
        <v>126</v>
      </c>
      <c r="AH116" s="202"/>
      <c r="AI116" s="202"/>
      <c r="AJ116" s="202"/>
      <c r="AK116" s="202"/>
      <c r="AL116" s="202"/>
      <c r="AM116" s="202"/>
      <c r="AN116" s="202"/>
      <c r="AO116" s="202"/>
      <c r="AP116" s="202"/>
      <c r="AQ116" s="202"/>
      <c r="AR116" s="202"/>
      <c r="AS116" s="202"/>
      <c r="AT116" s="202"/>
      <c r="AU116" s="202"/>
      <c r="AV116" s="202"/>
      <c r="AW116" s="16"/>
      <c r="AX116" s="202" t="s">
        <v>52</v>
      </c>
      <c r="AY116" s="202"/>
      <c r="AZ116" s="202"/>
      <c r="BA116" s="202"/>
      <c r="BB116" s="202"/>
      <c r="BC116" s="202"/>
      <c r="BD116" s="202"/>
      <c r="BE116" s="202"/>
      <c r="BF116" s="202"/>
      <c r="BG116" s="202"/>
      <c r="BH116" s="202"/>
      <c r="BI116" s="202"/>
      <c r="BJ116" s="202" t="s">
        <v>58</v>
      </c>
      <c r="BK116" s="202"/>
      <c r="BL116" s="202"/>
      <c r="BM116" s="202"/>
      <c r="BN116" s="202"/>
      <c r="BO116" s="202"/>
      <c r="BP116" s="202"/>
      <c r="BQ116" s="202"/>
      <c r="BR116" s="202"/>
      <c r="BS116" s="202"/>
      <c r="BT116" s="202"/>
      <c r="BU116" s="202"/>
      <c r="BV116" s="202"/>
      <c r="BW116" s="202"/>
      <c r="BX116" s="202"/>
      <c r="BY116" s="202"/>
      <c r="BZ116" s="202" t="s">
        <v>114</v>
      </c>
      <c r="CA116" s="202"/>
      <c r="CB116" s="202"/>
      <c r="CC116" s="202"/>
      <c r="CD116" s="202"/>
      <c r="CE116" s="202"/>
      <c r="CF116" s="202"/>
      <c r="CG116" s="202"/>
      <c r="CH116" s="202"/>
      <c r="CI116" s="202"/>
      <c r="CJ116" s="202"/>
      <c r="CK116" s="202"/>
      <c r="CL116" s="202"/>
      <c r="CM116" s="202"/>
      <c r="CN116" s="202"/>
      <c r="CO116" s="202"/>
      <c r="EJ116" s="13"/>
    </row>
    <row r="117" spans="1:140" s="1" customFormat="1" ht="13" customHeight="1" x14ac:dyDescent="0.35">
      <c r="A117" s="202"/>
      <c r="B117" s="202"/>
      <c r="C117" s="202"/>
      <c r="D117" s="202"/>
      <c r="E117" s="202"/>
      <c r="F117" s="202"/>
      <c r="G117" s="202"/>
      <c r="H117" s="202"/>
      <c r="I117" s="202"/>
      <c r="J117" s="202"/>
      <c r="K117" s="202"/>
      <c r="L117" s="202"/>
      <c r="M117" s="202"/>
      <c r="N117" s="202"/>
      <c r="O117" s="202"/>
      <c r="P117" s="202"/>
      <c r="Q117" s="202" t="s">
        <v>127</v>
      </c>
      <c r="R117" s="202"/>
      <c r="S117" s="202"/>
      <c r="T117" s="202"/>
      <c r="U117" s="202"/>
      <c r="V117" s="202"/>
      <c r="W117" s="202"/>
      <c r="X117" s="202"/>
      <c r="Y117" s="202" t="s">
        <v>128</v>
      </c>
      <c r="Z117" s="202"/>
      <c r="AA117" s="202"/>
      <c r="AB117" s="202"/>
      <c r="AC117" s="202"/>
      <c r="AD117" s="202"/>
      <c r="AE117" s="202"/>
      <c r="AF117" s="202"/>
      <c r="AG117" s="202" t="s">
        <v>127</v>
      </c>
      <c r="AH117" s="202"/>
      <c r="AI117" s="202"/>
      <c r="AJ117" s="202"/>
      <c r="AK117" s="202"/>
      <c r="AL117" s="202"/>
      <c r="AM117" s="202"/>
      <c r="AN117" s="202"/>
      <c r="AO117" s="202" t="s">
        <v>128</v>
      </c>
      <c r="AP117" s="202"/>
      <c r="AQ117" s="202"/>
      <c r="AR117" s="202"/>
      <c r="AS117" s="202"/>
      <c r="AT117" s="202"/>
      <c r="AU117" s="202"/>
      <c r="AV117" s="202"/>
      <c r="AW117" s="16"/>
      <c r="AX117" s="202"/>
      <c r="AY117" s="202"/>
      <c r="AZ117" s="202"/>
      <c r="BA117" s="202"/>
      <c r="BB117" s="202"/>
      <c r="BC117" s="202"/>
      <c r="BD117" s="202"/>
      <c r="BE117" s="202"/>
      <c r="BF117" s="202"/>
      <c r="BG117" s="202"/>
      <c r="BH117" s="202"/>
      <c r="BI117" s="202"/>
      <c r="BJ117" s="202" t="s">
        <v>127</v>
      </c>
      <c r="BK117" s="202"/>
      <c r="BL117" s="202"/>
      <c r="BM117" s="202"/>
      <c r="BN117" s="202"/>
      <c r="BO117" s="202"/>
      <c r="BP117" s="202"/>
      <c r="BQ117" s="202"/>
      <c r="BR117" s="202" t="s">
        <v>128</v>
      </c>
      <c r="BS117" s="202"/>
      <c r="BT117" s="202"/>
      <c r="BU117" s="202"/>
      <c r="BV117" s="202"/>
      <c r="BW117" s="202"/>
      <c r="BX117" s="202"/>
      <c r="BY117" s="202"/>
      <c r="BZ117" s="202" t="s">
        <v>127</v>
      </c>
      <c r="CA117" s="202"/>
      <c r="CB117" s="202"/>
      <c r="CC117" s="202"/>
      <c r="CD117" s="202"/>
      <c r="CE117" s="202"/>
      <c r="CF117" s="202"/>
      <c r="CG117" s="202"/>
      <c r="CH117" s="202" t="s">
        <v>128</v>
      </c>
      <c r="CI117" s="202"/>
      <c r="CJ117" s="202"/>
      <c r="CK117" s="202"/>
      <c r="CL117" s="202"/>
      <c r="CM117" s="202"/>
      <c r="CN117" s="202"/>
      <c r="CO117" s="202"/>
      <c r="EJ117" s="13"/>
    </row>
    <row r="118" spans="1:140" s="1" customFormat="1" ht="14.15" customHeight="1" x14ac:dyDescent="0.35">
      <c r="A118" s="202"/>
      <c r="B118" s="202"/>
      <c r="C118" s="202"/>
      <c r="D118" s="202"/>
      <c r="E118" s="202"/>
      <c r="F118" s="202"/>
      <c r="G118" s="202"/>
      <c r="H118" s="202"/>
      <c r="I118" s="202"/>
      <c r="J118" s="202"/>
      <c r="K118" s="202"/>
      <c r="L118" s="202"/>
      <c r="M118" s="202"/>
      <c r="N118" s="202"/>
      <c r="O118" s="202"/>
      <c r="P118" s="202"/>
      <c r="Q118" s="202"/>
      <c r="R118" s="202"/>
      <c r="S118" s="202"/>
      <c r="T118" s="202"/>
      <c r="U118" s="202"/>
      <c r="V118" s="202"/>
      <c r="W118" s="202"/>
      <c r="X118" s="202"/>
      <c r="Y118" s="202"/>
      <c r="Z118" s="202"/>
      <c r="AA118" s="202"/>
      <c r="AB118" s="202"/>
      <c r="AC118" s="202"/>
      <c r="AD118" s="202"/>
      <c r="AE118" s="202"/>
      <c r="AF118" s="202"/>
      <c r="AG118" s="202"/>
      <c r="AH118" s="202"/>
      <c r="AI118" s="202"/>
      <c r="AJ118" s="202"/>
      <c r="AK118" s="202"/>
      <c r="AL118" s="202"/>
      <c r="AM118" s="202"/>
      <c r="AN118" s="202"/>
      <c r="AO118" s="202"/>
      <c r="AP118" s="202"/>
      <c r="AQ118" s="202"/>
      <c r="AR118" s="202"/>
      <c r="AS118" s="202"/>
      <c r="AT118" s="202"/>
      <c r="AU118" s="202"/>
      <c r="AV118" s="202"/>
      <c r="AW118" s="16"/>
      <c r="AX118" s="137" t="s">
        <v>102</v>
      </c>
      <c r="AY118" s="137"/>
      <c r="AZ118" s="137"/>
      <c r="BA118" s="137"/>
      <c r="BB118" s="137"/>
      <c r="BC118" s="137"/>
      <c r="BD118" s="137"/>
      <c r="BE118" s="137"/>
      <c r="BF118" s="137"/>
      <c r="BG118" s="137"/>
      <c r="BH118" s="137"/>
      <c r="BI118" s="137"/>
      <c r="BJ118" s="171"/>
      <c r="BK118" s="171"/>
      <c r="BL118" s="171"/>
      <c r="BM118" s="171"/>
      <c r="BN118" s="171"/>
      <c r="BO118" s="171"/>
      <c r="BP118" s="171"/>
      <c r="BQ118" s="171"/>
      <c r="BR118" s="171" t="s">
        <v>207</v>
      </c>
      <c r="BS118" s="171"/>
      <c r="BT118" s="171"/>
      <c r="BU118" s="171"/>
      <c r="BV118" s="171"/>
      <c r="BW118" s="171"/>
      <c r="BX118" s="171"/>
      <c r="BY118" s="171"/>
      <c r="BZ118" s="171" t="s">
        <v>207</v>
      </c>
      <c r="CA118" s="171"/>
      <c r="CB118" s="171"/>
      <c r="CC118" s="171"/>
      <c r="CD118" s="171"/>
      <c r="CE118" s="171"/>
      <c r="CF118" s="171"/>
      <c r="CG118" s="171"/>
      <c r="CH118" s="171" t="s">
        <v>207</v>
      </c>
      <c r="CI118" s="171"/>
      <c r="CJ118" s="171"/>
      <c r="CK118" s="171"/>
      <c r="CL118" s="171"/>
      <c r="CM118" s="171"/>
      <c r="CN118" s="171"/>
      <c r="CO118" s="171"/>
      <c r="DE118" s="169"/>
      <c r="DF118" s="170"/>
      <c r="DG118" s="170"/>
      <c r="DH118" s="170"/>
      <c r="DI118" s="170"/>
      <c r="DJ118" s="170"/>
      <c r="DK118" s="170"/>
      <c r="DL118" s="170"/>
      <c r="DM118" s="170"/>
      <c r="DN118" s="170"/>
      <c r="DO118" s="170"/>
      <c r="DP118" s="170"/>
      <c r="DQ118" s="170"/>
      <c r="DR118" s="170"/>
      <c r="DS118" s="170"/>
      <c r="DT118" s="170"/>
      <c r="EJ118" s="13"/>
    </row>
    <row r="119" spans="1:140" s="1" customFormat="1" ht="14.15" customHeight="1" x14ac:dyDescent="0.35">
      <c r="A119" s="137" t="s">
        <v>92</v>
      </c>
      <c r="B119" s="94"/>
      <c r="C119" s="94"/>
      <c r="D119" s="94"/>
      <c r="E119" s="94"/>
      <c r="F119" s="94"/>
      <c r="G119" s="94"/>
      <c r="H119" s="94"/>
      <c r="I119" s="94"/>
      <c r="J119" s="94"/>
      <c r="K119" s="94"/>
      <c r="L119" s="94"/>
      <c r="M119" s="94"/>
      <c r="N119" s="94"/>
      <c r="O119" s="94"/>
      <c r="P119" s="94"/>
      <c r="Q119" s="171"/>
      <c r="R119" s="171"/>
      <c r="S119" s="171"/>
      <c r="T119" s="171"/>
      <c r="U119" s="171"/>
      <c r="V119" s="171"/>
      <c r="W119" s="171"/>
      <c r="X119" s="171"/>
      <c r="Y119" s="171" t="s">
        <v>207</v>
      </c>
      <c r="Z119" s="171"/>
      <c r="AA119" s="171"/>
      <c r="AB119" s="171"/>
      <c r="AC119" s="171"/>
      <c r="AD119" s="171"/>
      <c r="AE119" s="171"/>
      <c r="AF119" s="171"/>
      <c r="AG119" s="171" t="s">
        <v>234</v>
      </c>
      <c r="AH119" s="171"/>
      <c r="AI119" s="171"/>
      <c r="AJ119" s="171"/>
      <c r="AK119" s="171"/>
      <c r="AL119" s="171"/>
      <c r="AM119" s="171"/>
      <c r="AN119" s="171"/>
      <c r="AO119" s="171" t="s">
        <v>207</v>
      </c>
      <c r="AP119" s="171"/>
      <c r="AQ119" s="171"/>
      <c r="AR119" s="171"/>
      <c r="AS119" s="171"/>
      <c r="AT119" s="171"/>
      <c r="AU119" s="171"/>
      <c r="AV119" s="171"/>
      <c r="AW119" s="16"/>
      <c r="AX119" s="137" t="s">
        <v>103</v>
      </c>
      <c r="AY119" s="73"/>
      <c r="AZ119" s="73"/>
      <c r="BA119" s="73"/>
      <c r="BB119" s="73"/>
      <c r="BC119" s="73"/>
      <c r="BD119" s="73"/>
      <c r="BE119" s="73"/>
      <c r="BF119" s="73"/>
      <c r="BG119" s="73"/>
      <c r="BH119" s="73"/>
      <c r="BI119" s="73"/>
      <c r="BJ119" s="171"/>
      <c r="BK119" s="171"/>
      <c r="BL119" s="171"/>
      <c r="BM119" s="171"/>
      <c r="BN119" s="171"/>
      <c r="BO119" s="171"/>
      <c r="BP119" s="171"/>
      <c r="BQ119" s="171"/>
      <c r="BR119" s="171"/>
      <c r="BS119" s="171"/>
      <c r="BT119" s="171"/>
      <c r="BU119" s="171"/>
      <c r="BV119" s="171"/>
      <c r="BW119" s="171"/>
      <c r="BX119" s="171"/>
      <c r="BY119" s="171"/>
      <c r="BZ119" s="171"/>
      <c r="CA119" s="171"/>
      <c r="CB119" s="171"/>
      <c r="CC119" s="171"/>
      <c r="CD119" s="171"/>
      <c r="CE119" s="171"/>
      <c r="CF119" s="171"/>
      <c r="CG119" s="171"/>
      <c r="CH119" s="171"/>
      <c r="CI119" s="171"/>
      <c r="CJ119" s="171"/>
      <c r="CK119" s="171"/>
      <c r="CL119" s="171"/>
      <c r="CM119" s="171"/>
      <c r="CN119" s="171"/>
      <c r="CO119" s="171"/>
      <c r="DE119" s="169"/>
      <c r="DF119" s="169"/>
      <c r="DG119" s="169"/>
      <c r="DH119" s="169"/>
      <c r="DI119" s="169"/>
      <c r="DJ119" s="169"/>
      <c r="DK119" s="169"/>
      <c r="DL119" s="169"/>
      <c r="DM119" s="169"/>
      <c r="DN119" s="169"/>
      <c r="DO119" s="169"/>
      <c r="DP119" s="169"/>
      <c r="DQ119" s="169"/>
      <c r="DR119" s="169"/>
      <c r="DS119" s="169"/>
      <c r="DT119" s="169"/>
      <c r="EJ119" s="13"/>
    </row>
    <row r="120" spans="1:140" s="1" customFormat="1" ht="14.15" customHeight="1" x14ac:dyDescent="0.35">
      <c r="A120" s="137" t="s">
        <v>93</v>
      </c>
      <c r="B120" s="137"/>
      <c r="C120" s="137"/>
      <c r="D120" s="137"/>
      <c r="E120" s="137"/>
      <c r="F120" s="137"/>
      <c r="G120" s="137"/>
      <c r="H120" s="137"/>
      <c r="I120" s="137"/>
      <c r="J120" s="137"/>
      <c r="K120" s="137"/>
      <c r="L120" s="137"/>
      <c r="M120" s="137"/>
      <c r="N120" s="137"/>
      <c r="O120" s="137"/>
      <c r="P120" s="137"/>
      <c r="Q120" s="171"/>
      <c r="R120" s="171"/>
      <c r="S120" s="171"/>
      <c r="T120" s="171"/>
      <c r="U120" s="171"/>
      <c r="V120" s="171"/>
      <c r="W120" s="171"/>
      <c r="X120" s="171"/>
      <c r="Y120" s="171"/>
      <c r="Z120" s="171"/>
      <c r="AA120" s="171"/>
      <c r="AB120" s="171"/>
      <c r="AC120" s="171"/>
      <c r="AD120" s="171"/>
      <c r="AE120" s="171"/>
      <c r="AF120" s="171"/>
      <c r="AG120" s="171" t="s">
        <v>234</v>
      </c>
      <c r="AH120" s="171"/>
      <c r="AI120" s="171"/>
      <c r="AJ120" s="171"/>
      <c r="AK120" s="171"/>
      <c r="AL120" s="171"/>
      <c r="AM120" s="171"/>
      <c r="AN120" s="171"/>
      <c r="AO120" s="171" t="s">
        <v>207</v>
      </c>
      <c r="AP120" s="171"/>
      <c r="AQ120" s="171"/>
      <c r="AR120" s="171"/>
      <c r="AS120" s="171"/>
      <c r="AT120" s="171"/>
      <c r="AU120" s="171"/>
      <c r="AV120" s="171"/>
      <c r="AW120" s="16"/>
      <c r="AX120" s="137" t="s">
        <v>104</v>
      </c>
      <c r="AY120" s="73"/>
      <c r="AZ120" s="73"/>
      <c r="BA120" s="73"/>
      <c r="BB120" s="73"/>
      <c r="BC120" s="73"/>
      <c r="BD120" s="73"/>
      <c r="BE120" s="73"/>
      <c r="BF120" s="73"/>
      <c r="BG120" s="73"/>
      <c r="BH120" s="73"/>
      <c r="BI120" s="73"/>
      <c r="BJ120" s="171"/>
      <c r="BK120" s="171"/>
      <c r="BL120" s="171"/>
      <c r="BM120" s="171"/>
      <c r="BN120" s="171"/>
      <c r="BO120" s="171"/>
      <c r="BP120" s="171"/>
      <c r="BQ120" s="171"/>
      <c r="BR120" s="171"/>
      <c r="BS120" s="171"/>
      <c r="BT120" s="171"/>
      <c r="BU120" s="171"/>
      <c r="BV120" s="171"/>
      <c r="BW120" s="171"/>
      <c r="BX120" s="171"/>
      <c r="BY120" s="171"/>
      <c r="BZ120" s="171"/>
      <c r="CA120" s="171"/>
      <c r="CB120" s="171"/>
      <c r="CC120" s="171"/>
      <c r="CD120" s="171"/>
      <c r="CE120" s="171"/>
      <c r="CF120" s="171"/>
      <c r="CG120" s="171"/>
      <c r="CH120" s="171"/>
      <c r="CI120" s="171"/>
      <c r="CJ120" s="171"/>
      <c r="CK120" s="171"/>
      <c r="CL120" s="171"/>
      <c r="CM120" s="171"/>
      <c r="CN120" s="171"/>
      <c r="CO120" s="171"/>
      <c r="DE120" s="169"/>
      <c r="DF120" s="170"/>
      <c r="DG120" s="170"/>
      <c r="DH120" s="170"/>
      <c r="DI120" s="170"/>
      <c r="DJ120" s="170"/>
      <c r="DK120" s="170"/>
      <c r="DL120" s="170"/>
      <c r="DM120" s="170"/>
      <c r="DN120" s="170"/>
      <c r="DO120" s="170"/>
      <c r="DP120" s="170"/>
      <c r="DQ120" s="170"/>
      <c r="DR120" s="170"/>
      <c r="DS120" s="170"/>
      <c r="DT120" s="170"/>
      <c r="EJ120" s="13"/>
    </row>
    <row r="121" spans="1:140" s="1" customFormat="1" ht="14.15" customHeight="1" x14ac:dyDescent="0.35">
      <c r="A121" s="137" t="s">
        <v>94</v>
      </c>
      <c r="B121" s="94"/>
      <c r="C121" s="94"/>
      <c r="D121" s="94"/>
      <c r="E121" s="94"/>
      <c r="F121" s="94"/>
      <c r="G121" s="94"/>
      <c r="H121" s="94"/>
      <c r="I121" s="94"/>
      <c r="J121" s="94"/>
      <c r="K121" s="94"/>
      <c r="L121" s="94"/>
      <c r="M121" s="94"/>
      <c r="N121" s="94"/>
      <c r="O121" s="94"/>
      <c r="P121" s="94"/>
      <c r="Q121" s="171"/>
      <c r="R121" s="171"/>
      <c r="S121" s="171"/>
      <c r="T121" s="171"/>
      <c r="U121" s="171"/>
      <c r="V121" s="171"/>
      <c r="W121" s="171"/>
      <c r="X121" s="171"/>
      <c r="Y121" s="171"/>
      <c r="Z121" s="171"/>
      <c r="AA121" s="171"/>
      <c r="AB121" s="171"/>
      <c r="AC121" s="171"/>
      <c r="AD121" s="171"/>
      <c r="AE121" s="171"/>
      <c r="AF121" s="171"/>
      <c r="AG121" s="171" t="s">
        <v>234</v>
      </c>
      <c r="AH121" s="171"/>
      <c r="AI121" s="171"/>
      <c r="AJ121" s="171"/>
      <c r="AK121" s="171"/>
      <c r="AL121" s="171"/>
      <c r="AM121" s="171"/>
      <c r="AN121" s="171"/>
      <c r="AO121" s="171" t="s">
        <v>207</v>
      </c>
      <c r="AP121" s="171"/>
      <c r="AQ121" s="171"/>
      <c r="AR121" s="171"/>
      <c r="AS121" s="171"/>
      <c r="AT121" s="171"/>
      <c r="AU121" s="171"/>
      <c r="AV121" s="171"/>
      <c r="AW121" s="16"/>
      <c r="AX121" s="137" t="s">
        <v>105</v>
      </c>
      <c r="AY121" s="73"/>
      <c r="AZ121" s="73"/>
      <c r="BA121" s="73"/>
      <c r="BB121" s="73"/>
      <c r="BC121" s="73"/>
      <c r="BD121" s="73"/>
      <c r="BE121" s="73"/>
      <c r="BF121" s="73"/>
      <c r="BG121" s="73"/>
      <c r="BH121" s="73"/>
      <c r="BI121" s="73"/>
      <c r="BJ121" s="171"/>
      <c r="BK121" s="171"/>
      <c r="BL121" s="171"/>
      <c r="BM121" s="171"/>
      <c r="BN121" s="171"/>
      <c r="BO121" s="171"/>
      <c r="BP121" s="171"/>
      <c r="BQ121" s="171"/>
      <c r="BR121" s="171"/>
      <c r="BS121" s="171"/>
      <c r="BT121" s="171"/>
      <c r="BU121" s="171"/>
      <c r="BV121" s="171"/>
      <c r="BW121" s="171"/>
      <c r="BX121" s="171"/>
      <c r="BY121" s="171"/>
      <c r="BZ121" s="171"/>
      <c r="CA121" s="171"/>
      <c r="CB121" s="171"/>
      <c r="CC121" s="171"/>
      <c r="CD121" s="171"/>
      <c r="CE121" s="171"/>
      <c r="CF121" s="171"/>
      <c r="CG121" s="171"/>
      <c r="CH121" s="171"/>
      <c r="CI121" s="171"/>
      <c r="CJ121" s="171"/>
      <c r="CK121" s="171"/>
      <c r="CL121" s="171"/>
      <c r="CM121" s="171"/>
      <c r="CN121" s="171"/>
      <c r="CO121" s="171"/>
      <c r="DE121" s="169"/>
      <c r="DF121" s="170"/>
      <c r="DG121" s="170"/>
      <c r="DH121" s="170"/>
      <c r="DI121" s="170"/>
      <c r="DJ121" s="170"/>
      <c r="DK121" s="170"/>
      <c r="DL121" s="170"/>
      <c r="DM121" s="170"/>
      <c r="DN121" s="170"/>
      <c r="DO121" s="170"/>
      <c r="DP121" s="170"/>
      <c r="DQ121" s="170"/>
      <c r="DR121" s="170"/>
      <c r="DS121" s="170"/>
      <c r="DT121" s="170"/>
      <c r="EJ121" s="13"/>
    </row>
    <row r="122" spans="1:140" s="1" customFormat="1" ht="14.15" customHeight="1" x14ac:dyDescent="0.35">
      <c r="A122" s="137" t="s">
        <v>95</v>
      </c>
      <c r="B122" s="94"/>
      <c r="C122" s="94"/>
      <c r="D122" s="94"/>
      <c r="E122" s="94"/>
      <c r="F122" s="94"/>
      <c r="G122" s="94"/>
      <c r="H122" s="94"/>
      <c r="I122" s="94"/>
      <c r="J122" s="94"/>
      <c r="K122" s="94"/>
      <c r="L122" s="94"/>
      <c r="M122" s="94"/>
      <c r="N122" s="94"/>
      <c r="O122" s="94"/>
      <c r="P122" s="94"/>
      <c r="Q122" s="171"/>
      <c r="R122" s="171"/>
      <c r="S122" s="171"/>
      <c r="T122" s="171"/>
      <c r="U122" s="171"/>
      <c r="V122" s="171"/>
      <c r="W122" s="171"/>
      <c r="X122" s="171"/>
      <c r="Y122" s="171"/>
      <c r="Z122" s="171"/>
      <c r="AA122" s="171"/>
      <c r="AB122" s="171"/>
      <c r="AC122" s="171"/>
      <c r="AD122" s="171"/>
      <c r="AE122" s="171"/>
      <c r="AF122" s="171"/>
      <c r="AG122" s="171" t="s">
        <v>234</v>
      </c>
      <c r="AH122" s="171"/>
      <c r="AI122" s="171"/>
      <c r="AJ122" s="171"/>
      <c r="AK122" s="171"/>
      <c r="AL122" s="171"/>
      <c r="AM122" s="171"/>
      <c r="AN122" s="171"/>
      <c r="AO122" s="171" t="s">
        <v>207</v>
      </c>
      <c r="AP122" s="171"/>
      <c r="AQ122" s="171"/>
      <c r="AR122" s="171"/>
      <c r="AS122" s="171"/>
      <c r="AT122" s="171"/>
      <c r="AU122" s="171"/>
      <c r="AV122" s="171"/>
      <c r="AW122" s="16"/>
      <c r="AX122" s="137" t="s">
        <v>106</v>
      </c>
      <c r="AY122" s="73"/>
      <c r="AZ122" s="73"/>
      <c r="BA122" s="73"/>
      <c r="BB122" s="73"/>
      <c r="BC122" s="73"/>
      <c r="BD122" s="73"/>
      <c r="BE122" s="73"/>
      <c r="BF122" s="73"/>
      <c r="BG122" s="73"/>
      <c r="BH122" s="73"/>
      <c r="BI122" s="73"/>
      <c r="BJ122" s="221"/>
      <c r="BK122" s="221"/>
      <c r="BL122" s="221"/>
      <c r="BM122" s="221"/>
      <c r="BN122" s="221"/>
      <c r="BO122" s="221"/>
      <c r="BP122" s="221"/>
      <c r="BQ122" s="221"/>
      <c r="BR122" s="221"/>
      <c r="BS122" s="221"/>
      <c r="BT122" s="221"/>
      <c r="BU122" s="221"/>
      <c r="BV122" s="221"/>
      <c r="BW122" s="221"/>
      <c r="BX122" s="221"/>
      <c r="BY122" s="221"/>
      <c r="BZ122" s="221"/>
      <c r="CA122" s="221"/>
      <c r="CB122" s="221"/>
      <c r="CC122" s="221"/>
      <c r="CD122" s="221"/>
      <c r="CE122" s="221"/>
      <c r="CF122" s="221"/>
      <c r="CG122" s="221"/>
      <c r="CH122" s="221"/>
      <c r="CI122" s="221"/>
      <c r="CJ122" s="221"/>
      <c r="CK122" s="221"/>
      <c r="CL122" s="221"/>
      <c r="CM122" s="221"/>
      <c r="CN122" s="221"/>
      <c r="CO122" s="221"/>
      <c r="DE122" s="169"/>
      <c r="DF122" s="170"/>
      <c r="DG122" s="170"/>
      <c r="DH122" s="170"/>
      <c r="DI122" s="170"/>
      <c r="DJ122" s="170"/>
      <c r="DK122" s="170"/>
      <c r="DL122" s="170"/>
      <c r="DM122" s="170"/>
      <c r="DN122" s="170"/>
      <c r="DO122" s="170"/>
      <c r="DP122" s="170"/>
      <c r="DQ122" s="170"/>
      <c r="DR122" s="170"/>
      <c r="DS122" s="170"/>
      <c r="DT122" s="170"/>
      <c r="EJ122" s="13"/>
    </row>
    <row r="123" spans="1:140" s="1" customFormat="1" ht="14.15" customHeight="1" x14ac:dyDescent="0.35">
      <c r="A123" s="137" t="s">
        <v>98</v>
      </c>
      <c r="B123" s="94"/>
      <c r="C123" s="94"/>
      <c r="D123" s="94"/>
      <c r="E123" s="94"/>
      <c r="F123" s="94"/>
      <c r="G123" s="94"/>
      <c r="H123" s="94"/>
      <c r="I123" s="94"/>
      <c r="J123" s="94"/>
      <c r="K123" s="94"/>
      <c r="L123" s="94"/>
      <c r="M123" s="94"/>
      <c r="N123" s="94"/>
      <c r="O123" s="94"/>
      <c r="P123" s="94"/>
      <c r="Q123" s="171"/>
      <c r="R123" s="171"/>
      <c r="S123" s="171"/>
      <c r="T123" s="171"/>
      <c r="U123" s="171"/>
      <c r="V123" s="171"/>
      <c r="W123" s="171"/>
      <c r="X123" s="171"/>
      <c r="Y123" s="171"/>
      <c r="Z123" s="171"/>
      <c r="AA123" s="171"/>
      <c r="AB123" s="171"/>
      <c r="AC123" s="171"/>
      <c r="AD123" s="171"/>
      <c r="AE123" s="171"/>
      <c r="AF123" s="171"/>
      <c r="AG123" s="171" t="s">
        <v>234</v>
      </c>
      <c r="AH123" s="171"/>
      <c r="AI123" s="171"/>
      <c r="AJ123" s="171"/>
      <c r="AK123" s="171"/>
      <c r="AL123" s="171"/>
      <c r="AM123" s="171"/>
      <c r="AN123" s="171"/>
      <c r="AO123" s="171" t="s">
        <v>207</v>
      </c>
      <c r="AP123" s="171"/>
      <c r="AQ123" s="171"/>
      <c r="AR123" s="171"/>
      <c r="AS123" s="171"/>
      <c r="AT123" s="171"/>
      <c r="AU123" s="171"/>
      <c r="AV123" s="171"/>
      <c r="AW123" s="16"/>
      <c r="AX123" s="137" t="s">
        <v>107</v>
      </c>
      <c r="AY123" s="73"/>
      <c r="AZ123" s="73"/>
      <c r="BA123" s="73"/>
      <c r="BB123" s="73"/>
      <c r="BC123" s="73"/>
      <c r="BD123" s="73"/>
      <c r="BE123" s="73"/>
      <c r="BF123" s="73"/>
      <c r="BG123" s="73"/>
      <c r="BH123" s="73"/>
      <c r="BI123" s="73"/>
      <c r="BJ123" s="264"/>
      <c r="BK123" s="171"/>
      <c r="BL123" s="171"/>
      <c r="BM123" s="171"/>
      <c r="BN123" s="171"/>
      <c r="BO123" s="171"/>
      <c r="BP123" s="171"/>
      <c r="BQ123" s="171"/>
      <c r="BR123" s="264"/>
      <c r="BS123" s="171"/>
      <c r="BT123" s="171"/>
      <c r="BU123" s="171"/>
      <c r="BV123" s="171"/>
      <c r="BW123" s="171"/>
      <c r="BX123" s="171"/>
      <c r="BY123" s="171"/>
      <c r="BZ123" s="264"/>
      <c r="CA123" s="171"/>
      <c r="CB123" s="171"/>
      <c r="CC123" s="171"/>
      <c r="CD123" s="171"/>
      <c r="CE123" s="171"/>
      <c r="CF123" s="171"/>
      <c r="CG123" s="171"/>
      <c r="CH123" s="264"/>
      <c r="CI123" s="171"/>
      <c r="CJ123" s="171"/>
      <c r="CK123" s="171"/>
      <c r="CL123" s="171"/>
      <c r="CM123" s="171"/>
      <c r="CN123" s="171"/>
      <c r="CO123" s="171"/>
      <c r="DE123" s="169"/>
      <c r="DF123" s="170"/>
      <c r="DG123" s="170"/>
      <c r="DH123" s="170"/>
      <c r="DI123" s="170"/>
      <c r="DJ123" s="170"/>
      <c r="DK123" s="170"/>
      <c r="DL123" s="170"/>
      <c r="DM123" s="170"/>
      <c r="DN123" s="170"/>
      <c r="DO123" s="170"/>
      <c r="DP123" s="170"/>
      <c r="DQ123" s="170"/>
      <c r="DR123" s="170"/>
      <c r="DS123" s="170"/>
      <c r="DT123" s="170"/>
      <c r="EJ123" s="13"/>
    </row>
    <row r="124" spans="1:140" s="1" customFormat="1" ht="14.15" customHeight="1" x14ac:dyDescent="0.35">
      <c r="A124" s="215" t="s">
        <v>99</v>
      </c>
      <c r="B124" s="216"/>
      <c r="C124" s="216"/>
      <c r="D124" s="216"/>
      <c r="E124" s="216"/>
      <c r="F124" s="216"/>
      <c r="G124" s="216"/>
      <c r="H124" s="216"/>
      <c r="I124" s="216"/>
      <c r="J124" s="216"/>
      <c r="K124" s="216"/>
      <c r="L124" s="216"/>
      <c r="M124" s="216"/>
      <c r="N124" s="216"/>
      <c r="O124" s="216"/>
      <c r="P124" s="217"/>
      <c r="Q124" s="171"/>
      <c r="R124" s="171"/>
      <c r="S124" s="171"/>
      <c r="T124" s="171"/>
      <c r="U124" s="171"/>
      <c r="V124" s="171"/>
      <c r="W124" s="171"/>
      <c r="X124" s="171"/>
      <c r="Y124" s="172"/>
      <c r="Z124" s="173"/>
      <c r="AA124" s="173"/>
      <c r="AB124" s="173"/>
      <c r="AC124" s="173"/>
      <c r="AD124" s="173"/>
      <c r="AE124" s="173"/>
      <c r="AF124" s="174"/>
      <c r="AG124" s="171"/>
      <c r="AH124" s="171"/>
      <c r="AI124" s="171"/>
      <c r="AJ124" s="171"/>
      <c r="AK124" s="171"/>
      <c r="AL124" s="171"/>
      <c r="AM124" s="171"/>
      <c r="AN124" s="171"/>
      <c r="AO124" s="171" t="s">
        <v>207</v>
      </c>
      <c r="AP124" s="171"/>
      <c r="AQ124" s="171"/>
      <c r="AR124" s="171"/>
      <c r="AS124" s="171"/>
      <c r="AT124" s="171"/>
      <c r="AU124" s="171"/>
      <c r="AV124" s="171"/>
      <c r="AW124" s="16"/>
      <c r="AX124" s="137" t="s">
        <v>108</v>
      </c>
      <c r="AY124" s="73"/>
      <c r="AZ124" s="73"/>
      <c r="BA124" s="73"/>
      <c r="BB124" s="73"/>
      <c r="BC124" s="73"/>
      <c r="BD124" s="73"/>
      <c r="BE124" s="73"/>
      <c r="BF124" s="73"/>
      <c r="BG124" s="73"/>
      <c r="BH124" s="73"/>
      <c r="BI124" s="73"/>
      <c r="BJ124" s="171">
        <v>1</v>
      </c>
      <c r="BK124" s="171"/>
      <c r="BL124" s="171"/>
      <c r="BM124" s="171"/>
      <c r="BN124" s="171"/>
      <c r="BO124" s="171"/>
      <c r="BP124" s="171"/>
      <c r="BQ124" s="171"/>
      <c r="BR124" s="171"/>
      <c r="BS124" s="171"/>
      <c r="BT124" s="171"/>
      <c r="BU124" s="171"/>
      <c r="BV124" s="171"/>
      <c r="BW124" s="171"/>
      <c r="BX124" s="171"/>
      <c r="BY124" s="171"/>
      <c r="BZ124" s="171"/>
      <c r="CA124" s="171"/>
      <c r="CB124" s="171"/>
      <c r="CC124" s="171"/>
      <c r="CD124" s="171"/>
      <c r="CE124" s="171"/>
      <c r="CF124" s="171"/>
      <c r="CG124" s="171"/>
      <c r="CH124" s="171"/>
      <c r="CI124" s="171"/>
      <c r="CJ124" s="171"/>
      <c r="CK124" s="171"/>
      <c r="CL124" s="171"/>
      <c r="CM124" s="171"/>
      <c r="CN124" s="171"/>
      <c r="CO124" s="171"/>
      <c r="DE124" s="169"/>
      <c r="DF124" s="170"/>
      <c r="DG124" s="170"/>
      <c r="DH124" s="170"/>
      <c r="DI124" s="170"/>
      <c r="DJ124" s="170"/>
      <c r="DK124" s="170"/>
      <c r="DL124" s="170"/>
      <c r="DM124" s="170"/>
      <c r="DN124" s="170"/>
      <c r="DO124" s="170"/>
      <c r="DP124" s="170"/>
      <c r="DQ124" s="170"/>
      <c r="DR124" s="170"/>
      <c r="DS124" s="170"/>
      <c r="DT124" s="170"/>
      <c r="EJ124" s="13"/>
    </row>
    <row r="125" spans="1:140" s="1" customFormat="1" ht="14.15" customHeight="1" x14ac:dyDescent="0.35">
      <c r="A125" s="137" t="s">
        <v>100</v>
      </c>
      <c r="B125" s="94"/>
      <c r="C125" s="94"/>
      <c r="D125" s="94"/>
      <c r="E125" s="94"/>
      <c r="F125" s="94"/>
      <c r="G125" s="94"/>
      <c r="H125" s="94"/>
      <c r="I125" s="94"/>
      <c r="J125" s="94"/>
      <c r="K125" s="94"/>
      <c r="L125" s="94"/>
      <c r="M125" s="94"/>
      <c r="N125" s="94"/>
      <c r="O125" s="94"/>
      <c r="P125" s="94"/>
      <c r="Q125" s="171"/>
      <c r="R125" s="171"/>
      <c r="S125" s="171"/>
      <c r="T125" s="171"/>
      <c r="U125" s="171"/>
      <c r="V125" s="171"/>
      <c r="W125" s="171"/>
      <c r="X125" s="171"/>
      <c r="Y125" s="172"/>
      <c r="Z125" s="173"/>
      <c r="AA125" s="173"/>
      <c r="AB125" s="173"/>
      <c r="AC125" s="173"/>
      <c r="AD125" s="173"/>
      <c r="AE125" s="173"/>
      <c r="AF125" s="174"/>
      <c r="AG125" s="171" t="s">
        <v>234</v>
      </c>
      <c r="AH125" s="171"/>
      <c r="AI125" s="171"/>
      <c r="AJ125" s="171"/>
      <c r="AK125" s="171"/>
      <c r="AL125" s="171"/>
      <c r="AM125" s="171"/>
      <c r="AN125" s="171"/>
      <c r="AO125" s="171" t="s">
        <v>207</v>
      </c>
      <c r="AP125" s="171"/>
      <c r="AQ125" s="171"/>
      <c r="AR125" s="171"/>
      <c r="AS125" s="171"/>
      <c r="AT125" s="171"/>
      <c r="AU125" s="171"/>
      <c r="AV125" s="171"/>
      <c r="AW125" s="16"/>
      <c r="AX125" s="137" t="s">
        <v>109</v>
      </c>
      <c r="AY125" s="73"/>
      <c r="AZ125" s="73"/>
      <c r="BA125" s="73"/>
      <c r="BB125" s="73"/>
      <c r="BC125" s="73"/>
      <c r="BD125" s="73"/>
      <c r="BE125" s="73"/>
      <c r="BF125" s="73"/>
      <c r="BG125" s="73"/>
      <c r="BH125" s="73"/>
      <c r="BI125" s="73"/>
      <c r="BJ125" s="171"/>
      <c r="BK125" s="171"/>
      <c r="BL125" s="171"/>
      <c r="BM125" s="171"/>
      <c r="BN125" s="171"/>
      <c r="BO125" s="171"/>
      <c r="BP125" s="171"/>
      <c r="BQ125" s="171"/>
      <c r="BR125" s="171"/>
      <c r="BS125" s="171"/>
      <c r="BT125" s="171"/>
      <c r="BU125" s="171"/>
      <c r="BV125" s="171"/>
      <c r="BW125" s="171"/>
      <c r="BX125" s="171"/>
      <c r="BY125" s="171"/>
      <c r="BZ125" s="171"/>
      <c r="CA125" s="171"/>
      <c r="CB125" s="171"/>
      <c r="CC125" s="171"/>
      <c r="CD125" s="171"/>
      <c r="CE125" s="171"/>
      <c r="CF125" s="171"/>
      <c r="CG125" s="171"/>
      <c r="CH125" s="171"/>
      <c r="CI125" s="171"/>
      <c r="CJ125" s="171"/>
      <c r="CK125" s="171"/>
      <c r="CL125" s="171"/>
      <c r="CM125" s="171"/>
      <c r="CN125" s="171"/>
      <c r="CO125" s="171"/>
      <c r="DE125" s="169"/>
      <c r="DF125" s="170"/>
      <c r="DG125" s="170"/>
      <c r="DH125" s="170"/>
      <c r="DI125" s="170"/>
      <c r="DJ125" s="170"/>
      <c r="DK125" s="170"/>
      <c r="DL125" s="170"/>
      <c r="DM125" s="170"/>
      <c r="DN125" s="170"/>
      <c r="DO125" s="170"/>
      <c r="DP125" s="170"/>
      <c r="DQ125" s="170"/>
      <c r="DR125" s="170"/>
      <c r="DS125" s="170"/>
      <c r="DT125" s="170"/>
      <c r="EJ125" s="13"/>
    </row>
    <row r="126" spans="1:140" s="1" customFormat="1" ht="14.15" customHeight="1" x14ac:dyDescent="0.35">
      <c r="A126" s="137" t="s">
        <v>116</v>
      </c>
      <c r="B126" s="94"/>
      <c r="C126" s="94"/>
      <c r="D126" s="94"/>
      <c r="E126" s="94"/>
      <c r="F126" s="94"/>
      <c r="G126" s="94"/>
      <c r="H126" s="94"/>
      <c r="I126" s="94"/>
      <c r="J126" s="94"/>
      <c r="K126" s="94"/>
      <c r="L126" s="94"/>
      <c r="M126" s="94"/>
      <c r="N126" s="94"/>
      <c r="O126" s="94"/>
      <c r="P126" s="94"/>
      <c r="Q126" s="171" t="s">
        <v>233</v>
      </c>
      <c r="R126" s="171"/>
      <c r="S126" s="171"/>
      <c r="T126" s="171"/>
      <c r="U126" s="171"/>
      <c r="V126" s="171"/>
      <c r="W126" s="171"/>
      <c r="X126" s="171"/>
      <c r="Y126" s="172"/>
      <c r="Z126" s="173"/>
      <c r="AA126" s="173"/>
      <c r="AB126" s="173"/>
      <c r="AC126" s="173"/>
      <c r="AD126" s="173"/>
      <c r="AE126" s="173"/>
      <c r="AF126" s="174"/>
      <c r="AG126" s="171" t="s">
        <v>233</v>
      </c>
      <c r="AH126" s="171"/>
      <c r="AI126" s="171"/>
      <c r="AJ126" s="171"/>
      <c r="AK126" s="171"/>
      <c r="AL126" s="171"/>
      <c r="AM126" s="171"/>
      <c r="AN126" s="171"/>
      <c r="AO126" s="171" t="s">
        <v>207</v>
      </c>
      <c r="AP126" s="171"/>
      <c r="AQ126" s="171"/>
      <c r="AR126" s="171"/>
      <c r="AS126" s="171"/>
      <c r="AT126" s="171"/>
      <c r="AU126" s="171"/>
      <c r="AV126" s="171"/>
      <c r="AW126" s="16"/>
      <c r="AX126" s="137" t="s">
        <v>110</v>
      </c>
      <c r="AY126" s="73"/>
      <c r="AZ126" s="73"/>
      <c r="BA126" s="73"/>
      <c r="BB126" s="73"/>
      <c r="BC126" s="73"/>
      <c r="BD126" s="73"/>
      <c r="BE126" s="73"/>
      <c r="BF126" s="73"/>
      <c r="BG126" s="73"/>
      <c r="BH126" s="73"/>
      <c r="BI126" s="73"/>
      <c r="BJ126" s="177"/>
      <c r="BK126" s="171"/>
      <c r="BL126" s="171"/>
      <c r="BM126" s="171"/>
      <c r="BN126" s="171"/>
      <c r="BO126" s="171"/>
      <c r="BP126" s="171"/>
      <c r="BQ126" s="171"/>
      <c r="BR126" s="177"/>
      <c r="BS126" s="171"/>
      <c r="BT126" s="171"/>
      <c r="BU126" s="171"/>
      <c r="BV126" s="171"/>
      <c r="BW126" s="171"/>
      <c r="BX126" s="171"/>
      <c r="BY126" s="171"/>
      <c r="BZ126" s="177"/>
      <c r="CA126" s="171"/>
      <c r="CB126" s="171"/>
      <c r="CC126" s="171"/>
      <c r="CD126" s="171"/>
      <c r="CE126" s="171"/>
      <c r="CF126" s="171"/>
      <c r="CG126" s="171"/>
      <c r="CH126" s="177"/>
      <c r="CI126" s="171"/>
      <c r="CJ126" s="171"/>
      <c r="CK126" s="171"/>
      <c r="CL126" s="171"/>
      <c r="CM126" s="171"/>
      <c r="CN126" s="171"/>
      <c r="CO126" s="171"/>
      <c r="DE126" s="169"/>
      <c r="DF126" s="170"/>
      <c r="DG126" s="170"/>
      <c r="DH126" s="170"/>
      <c r="DI126" s="170"/>
      <c r="DJ126" s="170"/>
      <c r="DK126" s="170"/>
      <c r="DL126" s="170"/>
      <c r="DM126" s="170"/>
      <c r="DN126" s="170"/>
      <c r="DO126" s="170"/>
      <c r="DP126" s="170"/>
      <c r="DQ126" s="170"/>
      <c r="DR126" s="170"/>
      <c r="DS126" s="170"/>
      <c r="DT126" s="170"/>
      <c r="EJ126" s="13"/>
    </row>
    <row r="127" spans="1:140" s="1" customFormat="1" ht="14.15" customHeight="1" x14ac:dyDescent="0.35">
      <c r="A127" s="137" t="s">
        <v>115</v>
      </c>
      <c r="B127" s="94"/>
      <c r="C127" s="94"/>
      <c r="D127" s="94"/>
      <c r="E127" s="94"/>
      <c r="F127" s="94"/>
      <c r="G127" s="94"/>
      <c r="H127" s="94"/>
      <c r="I127" s="94"/>
      <c r="J127" s="94"/>
      <c r="K127" s="94"/>
      <c r="L127" s="94"/>
      <c r="M127" s="94"/>
      <c r="N127" s="94"/>
      <c r="O127" s="94"/>
      <c r="P127" s="94"/>
      <c r="Q127" s="171"/>
      <c r="R127" s="171"/>
      <c r="S127" s="171"/>
      <c r="T127" s="171"/>
      <c r="U127" s="171"/>
      <c r="V127" s="171"/>
      <c r="W127" s="171"/>
      <c r="X127" s="171"/>
      <c r="Y127" s="171"/>
      <c r="Z127" s="171"/>
      <c r="AA127" s="171"/>
      <c r="AB127" s="171"/>
      <c r="AC127" s="171"/>
      <c r="AD127" s="171"/>
      <c r="AE127" s="171"/>
      <c r="AF127" s="171"/>
      <c r="AG127" s="171"/>
      <c r="AH127" s="171"/>
      <c r="AI127" s="171"/>
      <c r="AJ127" s="171"/>
      <c r="AK127" s="171"/>
      <c r="AL127" s="171"/>
      <c r="AM127" s="171"/>
      <c r="AN127" s="171"/>
      <c r="AO127" s="171" t="s">
        <v>207</v>
      </c>
      <c r="AP127" s="171"/>
      <c r="AQ127" s="171"/>
      <c r="AR127" s="171"/>
      <c r="AS127" s="171"/>
      <c r="AT127" s="171"/>
      <c r="AU127" s="171"/>
      <c r="AV127" s="171"/>
      <c r="AW127" s="16"/>
      <c r="AX127" s="137" t="s">
        <v>111</v>
      </c>
      <c r="AY127" s="73"/>
      <c r="AZ127" s="73"/>
      <c r="BA127" s="73"/>
      <c r="BB127" s="73"/>
      <c r="BC127" s="73"/>
      <c r="BD127" s="73"/>
      <c r="BE127" s="73"/>
      <c r="BF127" s="73"/>
      <c r="BG127" s="73"/>
      <c r="BH127" s="73"/>
      <c r="BI127" s="73"/>
      <c r="BJ127" s="171"/>
      <c r="BK127" s="171"/>
      <c r="BL127" s="171"/>
      <c r="BM127" s="171"/>
      <c r="BN127" s="171"/>
      <c r="BO127" s="171"/>
      <c r="BP127" s="171"/>
      <c r="BQ127" s="171"/>
      <c r="BR127" s="171"/>
      <c r="BS127" s="171"/>
      <c r="BT127" s="171"/>
      <c r="BU127" s="171"/>
      <c r="BV127" s="171"/>
      <c r="BW127" s="171"/>
      <c r="BX127" s="171"/>
      <c r="BY127" s="171"/>
      <c r="BZ127" s="171"/>
      <c r="CA127" s="171"/>
      <c r="CB127" s="171"/>
      <c r="CC127" s="171"/>
      <c r="CD127" s="171"/>
      <c r="CE127" s="171"/>
      <c r="CF127" s="171"/>
      <c r="CG127" s="171"/>
      <c r="CH127" s="171"/>
      <c r="CI127" s="171"/>
      <c r="CJ127" s="171"/>
      <c r="CK127" s="171"/>
      <c r="CL127" s="171"/>
      <c r="CM127" s="171"/>
      <c r="CN127" s="171"/>
      <c r="CO127" s="171"/>
      <c r="DE127" s="169"/>
      <c r="DF127" s="170"/>
      <c r="DG127" s="170"/>
      <c r="DH127" s="170"/>
      <c r="DI127" s="170"/>
      <c r="DJ127" s="170"/>
      <c r="DK127" s="170"/>
      <c r="DL127" s="170"/>
      <c r="DM127" s="170"/>
      <c r="DN127" s="170"/>
      <c r="DO127" s="170"/>
      <c r="DP127" s="170"/>
      <c r="DQ127" s="170"/>
      <c r="DR127" s="170"/>
      <c r="DS127" s="170"/>
      <c r="DT127" s="170"/>
      <c r="EJ127" s="13"/>
    </row>
    <row r="128" spans="1:140" s="1" customFormat="1" ht="14.15" customHeight="1" x14ac:dyDescent="0.35">
      <c r="A128" s="137" t="s">
        <v>96</v>
      </c>
      <c r="B128" s="94"/>
      <c r="C128" s="94"/>
      <c r="D128" s="94"/>
      <c r="E128" s="94"/>
      <c r="F128" s="94"/>
      <c r="G128" s="94"/>
      <c r="H128" s="94"/>
      <c r="I128" s="94"/>
      <c r="J128" s="94"/>
      <c r="K128" s="94"/>
      <c r="L128" s="94"/>
      <c r="M128" s="94"/>
      <c r="N128" s="94"/>
      <c r="O128" s="94"/>
      <c r="P128" s="94"/>
      <c r="Q128" s="172"/>
      <c r="R128" s="173"/>
      <c r="S128" s="173"/>
      <c r="T128" s="173"/>
      <c r="U128" s="173"/>
      <c r="V128" s="173"/>
      <c r="W128" s="173"/>
      <c r="X128" s="173"/>
      <c r="Y128" s="173"/>
      <c r="Z128" s="173"/>
      <c r="AA128" s="173"/>
      <c r="AB128" s="173"/>
      <c r="AC128" s="173"/>
      <c r="AD128" s="173"/>
      <c r="AE128" s="173"/>
      <c r="AF128" s="174"/>
      <c r="AG128" s="172" t="s">
        <v>234</v>
      </c>
      <c r="AH128" s="173"/>
      <c r="AI128" s="173"/>
      <c r="AJ128" s="173"/>
      <c r="AK128" s="173"/>
      <c r="AL128" s="173"/>
      <c r="AM128" s="173"/>
      <c r="AN128" s="173"/>
      <c r="AO128" s="175"/>
      <c r="AP128" s="175"/>
      <c r="AQ128" s="175"/>
      <c r="AR128" s="175"/>
      <c r="AS128" s="175"/>
      <c r="AT128" s="175"/>
      <c r="AU128" s="175"/>
      <c r="AV128" s="176"/>
      <c r="AW128" s="16"/>
      <c r="AX128" s="137" t="s">
        <v>123</v>
      </c>
      <c r="AY128" s="73"/>
      <c r="AZ128" s="73"/>
      <c r="BA128" s="73"/>
      <c r="BB128" s="73"/>
      <c r="BC128" s="73"/>
      <c r="BD128" s="73"/>
      <c r="BE128" s="73"/>
      <c r="BF128" s="73"/>
      <c r="BG128" s="73"/>
      <c r="BH128" s="73"/>
      <c r="BI128" s="73"/>
      <c r="BJ128" s="214"/>
      <c r="BK128" s="214"/>
      <c r="BL128" s="214"/>
      <c r="BM128" s="214"/>
      <c r="BN128" s="214"/>
      <c r="BO128" s="214"/>
      <c r="BP128" s="214"/>
      <c r="BQ128" s="214"/>
      <c r="BR128" s="214"/>
      <c r="BS128" s="214"/>
      <c r="BT128" s="214"/>
      <c r="BU128" s="214"/>
      <c r="BV128" s="214"/>
      <c r="BW128" s="214"/>
      <c r="BX128" s="214"/>
      <c r="BY128" s="214"/>
      <c r="BZ128" s="214"/>
      <c r="CA128" s="214"/>
      <c r="CB128" s="214"/>
      <c r="CC128" s="214"/>
      <c r="CD128" s="214"/>
      <c r="CE128" s="214"/>
      <c r="CF128" s="214"/>
      <c r="CG128" s="214"/>
      <c r="CH128" s="214"/>
      <c r="CI128" s="214"/>
      <c r="CJ128" s="214"/>
      <c r="CK128" s="214"/>
      <c r="CL128" s="214"/>
      <c r="CM128" s="214"/>
      <c r="CN128" s="214"/>
      <c r="CO128" s="214"/>
      <c r="DE128" s="169"/>
      <c r="DF128" s="170"/>
      <c r="DG128" s="170"/>
      <c r="DH128" s="170"/>
      <c r="DI128" s="170"/>
      <c r="DJ128" s="170"/>
      <c r="DK128" s="170"/>
      <c r="DL128" s="170"/>
      <c r="DM128" s="170"/>
      <c r="DN128" s="170"/>
      <c r="DO128" s="170"/>
      <c r="DP128" s="170"/>
      <c r="DQ128" s="170"/>
      <c r="DR128" s="170"/>
      <c r="DS128" s="170"/>
      <c r="DT128" s="170"/>
      <c r="EJ128" s="13"/>
    </row>
    <row r="129" spans="1:140" s="1" customFormat="1" ht="14.15" customHeight="1" x14ac:dyDescent="0.35">
      <c r="A129" s="137" t="s">
        <v>97</v>
      </c>
      <c r="B129" s="94"/>
      <c r="C129" s="94"/>
      <c r="D129" s="94"/>
      <c r="E129" s="94"/>
      <c r="F129" s="94"/>
      <c r="G129" s="94"/>
      <c r="H129" s="94"/>
      <c r="I129" s="94"/>
      <c r="J129" s="94"/>
      <c r="K129" s="94"/>
      <c r="L129" s="94"/>
      <c r="M129" s="94"/>
      <c r="N129" s="94"/>
      <c r="O129" s="94"/>
      <c r="P129" s="94"/>
      <c r="Q129" s="172"/>
      <c r="R129" s="173"/>
      <c r="S129" s="173"/>
      <c r="T129" s="173"/>
      <c r="U129" s="173"/>
      <c r="V129" s="173"/>
      <c r="W129" s="173"/>
      <c r="X129" s="173"/>
      <c r="Y129" s="175"/>
      <c r="Z129" s="175"/>
      <c r="AA129" s="175"/>
      <c r="AB129" s="175"/>
      <c r="AC129" s="175"/>
      <c r="AD129" s="175"/>
      <c r="AE129" s="175"/>
      <c r="AF129" s="176"/>
      <c r="AG129" s="172" t="s">
        <v>234</v>
      </c>
      <c r="AH129" s="173"/>
      <c r="AI129" s="173"/>
      <c r="AJ129" s="173"/>
      <c r="AK129" s="173"/>
      <c r="AL129" s="173"/>
      <c r="AM129" s="173"/>
      <c r="AN129" s="173"/>
      <c r="AO129" s="175"/>
      <c r="AP129" s="175"/>
      <c r="AQ129" s="175"/>
      <c r="AR129" s="175"/>
      <c r="AS129" s="175"/>
      <c r="AT129" s="175"/>
      <c r="AU129" s="175"/>
      <c r="AV129" s="176"/>
      <c r="AW129" s="16"/>
      <c r="AX129" s="137" t="s">
        <v>112</v>
      </c>
      <c r="AY129" s="73"/>
      <c r="AZ129" s="73"/>
      <c r="BA129" s="73"/>
      <c r="BB129" s="73"/>
      <c r="BC129" s="73"/>
      <c r="BD129" s="73"/>
      <c r="BE129" s="73"/>
      <c r="BF129" s="73"/>
      <c r="BG129" s="73"/>
      <c r="BH129" s="73"/>
      <c r="BI129" s="73"/>
      <c r="BJ129" s="213"/>
      <c r="BK129" s="213"/>
      <c r="BL129" s="213"/>
      <c r="BM129" s="213"/>
      <c r="BN129" s="213"/>
      <c r="BO129" s="213"/>
      <c r="BP129" s="213"/>
      <c r="BQ129" s="213"/>
      <c r="BR129" s="213"/>
      <c r="BS129" s="213"/>
      <c r="BT129" s="213"/>
      <c r="BU129" s="213"/>
      <c r="BV129" s="213"/>
      <c r="BW129" s="213"/>
      <c r="BX129" s="213"/>
      <c r="BY129" s="213"/>
      <c r="BZ129" s="213"/>
      <c r="CA129" s="213"/>
      <c r="CB129" s="213"/>
      <c r="CC129" s="213"/>
      <c r="CD129" s="213"/>
      <c r="CE129" s="213"/>
      <c r="CF129" s="213"/>
      <c r="CG129" s="213"/>
      <c r="CH129" s="213"/>
      <c r="CI129" s="213"/>
      <c r="CJ129" s="213"/>
      <c r="CK129" s="213"/>
      <c r="CL129" s="213"/>
      <c r="CM129" s="213"/>
      <c r="CN129" s="213"/>
      <c r="CO129" s="213"/>
      <c r="EJ129" s="13"/>
    </row>
    <row r="130" spans="1:140" s="1" customFormat="1" ht="10" customHeight="1" x14ac:dyDescent="0.3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c r="CM130" s="13"/>
      <c r="CN130" s="13"/>
      <c r="CO130" s="13"/>
      <c r="EJ130" s="13"/>
    </row>
    <row r="131" spans="1:140" s="1" customFormat="1" ht="14.15" customHeight="1" x14ac:dyDescent="0.35">
      <c r="A131" s="74" t="s">
        <v>226</v>
      </c>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74"/>
      <c r="AN131" s="74"/>
      <c r="AO131" s="74"/>
      <c r="AP131" s="74"/>
      <c r="AQ131" s="74"/>
      <c r="AR131" s="74"/>
      <c r="AS131" s="74"/>
      <c r="AT131" s="74"/>
      <c r="AU131" s="74"/>
      <c r="AV131" s="74"/>
      <c r="AW131" s="74"/>
      <c r="AX131" s="74"/>
      <c r="AY131" s="74"/>
      <c r="AZ131" s="74"/>
      <c r="BA131" s="74"/>
      <c r="BB131" s="74"/>
      <c r="BC131" s="74"/>
      <c r="BD131" s="74"/>
      <c r="BE131" s="74"/>
      <c r="BF131" s="74"/>
      <c r="BG131" s="74"/>
      <c r="BH131" s="74"/>
      <c r="BI131" s="74"/>
      <c r="BJ131" s="74"/>
      <c r="BK131" s="74"/>
      <c r="BL131" s="74"/>
      <c r="BM131" s="74"/>
      <c r="BN131" s="74"/>
      <c r="BO131" s="74"/>
      <c r="BP131" s="74"/>
      <c r="BQ131" s="74"/>
      <c r="BR131" s="74"/>
      <c r="BS131" s="74"/>
      <c r="BT131" s="74"/>
      <c r="BU131" s="74"/>
      <c r="BV131" s="74"/>
      <c r="BW131" s="74"/>
      <c r="BX131" s="74"/>
      <c r="BY131" s="74"/>
      <c r="BZ131" s="74"/>
      <c r="CA131" s="74"/>
      <c r="CB131" s="74"/>
      <c r="CC131" s="74"/>
      <c r="CD131" s="74"/>
      <c r="CE131" s="74"/>
      <c r="CF131" s="74"/>
      <c r="CG131" s="74"/>
      <c r="CH131" s="74"/>
      <c r="CI131" s="74"/>
      <c r="CJ131" s="74"/>
      <c r="CK131" s="74"/>
      <c r="CL131" s="74"/>
      <c r="CM131" s="74"/>
      <c r="CN131" s="74"/>
      <c r="CO131" s="74"/>
      <c r="EJ131" s="13"/>
    </row>
    <row r="132" spans="1:140" s="1" customFormat="1" ht="13" customHeight="1" x14ac:dyDescent="0.35">
      <c r="A132" s="202" t="s">
        <v>52</v>
      </c>
      <c r="B132" s="202"/>
      <c r="C132" s="202"/>
      <c r="D132" s="202"/>
      <c r="E132" s="202"/>
      <c r="F132" s="202"/>
      <c r="G132" s="202"/>
      <c r="H132" s="202"/>
      <c r="I132" s="202"/>
      <c r="J132" s="202"/>
      <c r="K132" s="202"/>
      <c r="L132" s="202"/>
      <c r="M132" s="202"/>
      <c r="N132" s="202" t="s">
        <v>58</v>
      </c>
      <c r="O132" s="202"/>
      <c r="P132" s="202"/>
      <c r="Q132" s="202"/>
      <c r="R132" s="202"/>
      <c r="S132" s="202"/>
      <c r="T132" s="202"/>
      <c r="U132" s="202"/>
      <c r="V132" s="202"/>
      <c r="W132" s="202"/>
      <c r="X132" s="202"/>
      <c r="Y132" s="202"/>
      <c r="Z132" s="202"/>
      <c r="AA132" s="202"/>
      <c r="AB132" s="202"/>
      <c r="AC132" s="202"/>
      <c r="AD132" s="202"/>
      <c r="AE132" s="202"/>
      <c r="AF132" s="202"/>
      <c r="AG132" s="202"/>
      <c r="AH132" s="202"/>
      <c r="AI132" s="202"/>
      <c r="AJ132" s="202"/>
      <c r="AK132" s="202"/>
      <c r="AL132" s="202"/>
      <c r="AM132" s="202"/>
      <c r="AN132" s="202"/>
      <c r="AO132" s="202"/>
      <c r="AP132" s="202"/>
      <c r="AQ132" s="202"/>
      <c r="AR132" s="202"/>
      <c r="AS132" s="202"/>
      <c r="AT132" s="202"/>
      <c r="AU132" s="202"/>
      <c r="AV132" s="202"/>
      <c r="AW132" s="202"/>
      <c r="AX132" s="202"/>
      <c r="AY132" s="202"/>
      <c r="AZ132" s="202"/>
      <c r="BA132" s="202"/>
      <c r="BB132" s="202" t="s">
        <v>114</v>
      </c>
      <c r="BC132" s="202"/>
      <c r="BD132" s="202"/>
      <c r="BE132" s="202"/>
      <c r="BF132" s="202"/>
      <c r="BG132" s="202"/>
      <c r="BH132" s="202"/>
      <c r="BI132" s="202"/>
      <c r="BJ132" s="202"/>
      <c r="BK132" s="202"/>
      <c r="BL132" s="202"/>
      <c r="BM132" s="202"/>
      <c r="BN132" s="202"/>
      <c r="BO132" s="202"/>
      <c r="BP132" s="202"/>
      <c r="BQ132" s="202"/>
      <c r="BR132" s="202"/>
      <c r="BS132" s="202"/>
      <c r="BT132" s="202"/>
      <c r="BU132" s="202"/>
      <c r="BV132" s="202"/>
      <c r="BW132" s="202"/>
      <c r="BX132" s="202"/>
      <c r="BY132" s="202"/>
      <c r="BZ132" s="202"/>
      <c r="CA132" s="202"/>
      <c r="CB132" s="202"/>
      <c r="CC132" s="202"/>
      <c r="CD132" s="202"/>
      <c r="CE132" s="202"/>
      <c r="CF132" s="202"/>
      <c r="CG132" s="202"/>
      <c r="CH132" s="202"/>
      <c r="CI132" s="202"/>
      <c r="CJ132" s="202"/>
      <c r="CK132" s="202"/>
      <c r="CL132" s="202"/>
      <c r="CM132" s="202"/>
      <c r="CN132" s="202"/>
      <c r="CO132" s="202"/>
      <c r="EJ132" s="13"/>
    </row>
    <row r="133" spans="1:140" s="1" customFormat="1" ht="13" customHeight="1" x14ac:dyDescent="0.35">
      <c r="A133" s="137" t="s">
        <v>131</v>
      </c>
      <c r="B133" s="137"/>
      <c r="C133" s="137"/>
      <c r="D133" s="137"/>
      <c r="E133" s="137"/>
      <c r="F133" s="137"/>
      <c r="G133" s="137"/>
      <c r="H133" s="137"/>
      <c r="I133" s="137"/>
      <c r="J133" s="137"/>
      <c r="K133" s="137"/>
      <c r="L133" s="137"/>
      <c r="M133" s="137"/>
      <c r="N133" s="137" t="s">
        <v>113</v>
      </c>
      <c r="O133" s="137"/>
      <c r="P133" s="137"/>
      <c r="Q133" s="137"/>
      <c r="R133" s="137"/>
      <c r="S133" s="275" t="s">
        <v>124</v>
      </c>
      <c r="T133" s="275"/>
      <c r="U133" s="275"/>
      <c r="V133" s="275"/>
      <c r="W133" s="275"/>
      <c r="X133" s="275"/>
      <c r="Y133" s="275"/>
      <c r="Z133" s="275"/>
      <c r="AA133" s="275"/>
      <c r="AB133" s="275"/>
      <c r="AC133" s="275"/>
      <c r="AD133" s="275"/>
      <c r="AE133" s="137" t="s">
        <v>109</v>
      </c>
      <c r="AF133" s="137"/>
      <c r="AG133" s="137"/>
      <c r="AH133" s="137"/>
      <c r="AI133" s="137"/>
      <c r="AJ133" s="117"/>
      <c r="AK133" s="117"/>
      <c r="AL133" s="117"/>
      <c r="AM133" s="117"/>
      <c r="AN133" s="117"/>
      <c r="AO133" s="117"/>
      <c r="AP133" s="117"/>
      <c r="AQ133" s="117"/>
      <c r="AR133" s="117"/>
      <c r="AS133" s="117"/>
      <c r="AT133" s="117"/>
      <c r="AU133" s="117"/>
      <c r="AV133" s="117"/>
      <c r="AW133" s="117"/>
      <c r="AX133" s="117"/>
      <c r="AY133" s="117"/>
      <c r="AZ133" s="117"/>
      <c r="BA133" s="117"/>
      <c r="BB133" s="137" t="s">
        <v>113</v>
      </c>
      <c r="BC133" s="137"/>
      <c r="BD133" s="137"/>
      <c r="BE133" s="137"/>
      <c r="BF133" s="137"/>
      <c r="BG133" s="117" t="s">
        <v>207</v>
      </c>
      <c r="BH133" s="117"/>
      <c r="BI133" s="117"/>
      <c r="BJ133" s="117"/>
      <c r="BK133" s="117"/>
      <c r="BL133" s="117"/>
      <c r="BM133" s="117"/>
      <c r="BN133" s="117"/>
      <c r="BO133" s="117"/>
      <c r="BP133" s="117"/>
      <c r="BQ133" s="117"/>
      <c r="BR133" s="117"/>
      <c r="BS133" s="137" t="s">
        <v>109</v>
      </c>
      <c r="BT133" s="137"/>
      <c r="BU133" s="137"/>
      <c r="BV133" s="137"/>
      <c r="BW133" s="137"/>
      <c r="BX133" s="117" t="s">
        <v>207</v>
      </c>
      <c r="BY133" s="117"/>
      <c r="BZ133" s="117"/>
      <c r="CA133" s="117"/>
      <c r="CB133" s="117"/>
      <c r="CC133" s="117"/>
      <c r="CD133" s="117"/>
      <c r="CE133" s="117"/>
      <c r="CF133" s="117"/>
      <c r="CG133" s="117"/>
      <c r="CH133" s="117"/>
      <c r="CI133" s="117"/>
      <c r="CJ133" s="117"/>
      <c r="CK133" s="117"/>
      <c r="CL133" s="117"/>
      <c r="CM133" s="117"/>
      <c r="CN133" s="117"/>
      <c r="CO133" s="117"/>
      <c r="EJ133" s="13"/>
    </row>
    <row r="134" spans="1:140" s="1" customFormat="1" ht="13" customHeight="1" x14ac:dyDescent="0.35">
      <c r="A134" s="137" t="s">
        <v>132</v>
      </c>
      <c r="B134" s="137"/>
      <c r="C134" s="137"/>
      <c r="D134" s="137"/>
      <c r="E134" s="137"/>
      <c r="F134" s="137"/>
      <c r="G134" s="137"/>
      <c r="H134" s="137"/>
      <c r="I134" s="137"/>
      <c r="J134" s="137"/>
      <c r="K134" s="137"/>
      <c r="L134" s="137"/>
      <c r="M134" s="137"/>
      <c r="N134" s="254"/>
      <c r="O134" s="255"/>
      <c r="P134" s="255"/>
      <c r="Q134" s="255"/>
      <c r="R134" s="255"/>
      <c r="S134" s="255"/>
      <c r="T134" s="255"/>
      <c r="U134" s="255"/>
      <c r="V134" s="255"/>
      <c r="W134" s="255"/>
      <c r="X134" s="255"/>
      <c r="Y134" s="255"/>
      <c r="Z134" s="255"/>
      <c r="AA134" s="255"/>
      <c r="AB134" s="255"/>
      <c r="AC134" s="255"/>
      <c r="AD134" s="255"/>
      <c r="AE134" s="255"/>
      <c r="AF134" s="255"/>
      <c r="AG134" s="255"/>
      <c r="AH134" s="255"/>
      <c r="AI134" s="255"/>
      <c r="AJ134" s="255"/>
      <c r="AK134" s="255"/>
      <c r="AL134" s="255"/>
      <c r="AM134" s="255"/>
      <c r="AN134" s="255"/>
      <c r="AO134" s="255"/>
      <c r="AP134" s="255"/>
      <c r="AQ134" s="255"/>
      <c r="AR134" s="255"/>
      <c r="AS134" s="255"/>
      <c r="AT134" s="255"/>
      <c r="AU134" s="255"/>
      <c r="AV134" s="255"/>
      <c r="AW134" s="255"/>
      <c r="AX134" s="255"/>
      <c r="AY134" s="255"/>
      <c r="AZ134" s="255"/>
      <c r="BA134" s="256"/>
      <c r="BB134" s="254" t="s">
        <v>207</v>
      </c>
      <c r="BC134" s="255"/>
      <c r="BD134" s="255"/>
      <c r="BE134" s="255"/>
      <c r="BF134" s="255"/>
      <c r="BG134" s="255"/>
      <c r="BH134" s="255"/>
      <c r="BI134" s="255"/>
      <c r="BJ134" s="255"/>
      <c r="BK134" s="255"/>
      <c r="BL134" s="255"/>
      <c r="BM134" s="255"/>
      <c r="BN134" s="255"/>
      <c r="BO134" s="255"/>
      <c r="BP134" s="255"/>
      <c r="BQ134" s="255"/>
      <c r="BR134" s="255"/>
      <c r="BS134" s="255"/>
      <c r="BT134" s="255"/>
      <c r="BU134" s="255"/>
      <c r="BV134" s="255"/>
      <c r="BW134" s="255"/>
      <c r="BX134" s="255"/>
      <c r="BY134" s="255"/>
      <c r="BZ134" s="255"/>
      <c r="CA134" s="255"/>
      <c r="CB134" s="255"/>
      <c r="CC134" s="255"/>
      <c r="CD134" s="255"/>
      <c r="CE134" s="255"/>
      <c r="CF134" s="255"/>
      <c r="CG134" s="255"/>
      <c r="CH134" s="255"/>
      <c r="CI134" s="255"/>
      <c r="CJ134" s="255"/>
      <c r="CK134" s="255"/>
      <c r="CL134" s="255"/>
      <c r="CM134" s="255"/>
      <c r="CN134" s="255"/>
      <c r="CO134" s="256"/>
      <c r="EJ134" s="13"/>
    </row>
    <row r="135" spans="1:140" s="1" customFormat="1" ht="10" customHeight="1" x14ac:dyDescent="0.35">
      <c r="A135" s="47"/>
      <c r="B135" s="47"/>
      <c r="C135" s="47"/>
      <c r="D135" s="47"/>
      <c r="E135" s="47"/>
      <c r="F135" s="47"/>
      <c r="G135" s="47"/>
      <c r="H135" s="47"/>
      <c r="I135" s="47"/>
      <c r="J135" s="47"/>
      <c r="K135" s="47"/>
      <c r="L135" s="47"/>
      <c r="M135" s="47"/>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9"/>
      <c r="AT135" s="49"/>
      <c r="AU135" s="49"/>
      <c r="AV135" s="49"/>
      <c r="AW135" s="49"/>
      <c r="AX135" s="49"/>
      <c r="AY135" s="49"/>
      <c r="AZ135" s="49"/>
      <c r="BA135" s="49"/>
      <c r="BB135" s="49"/>
      <c r="BC135" s="49"/>
      <c r="BD135" s="49"/>
      <c r="BE135" s="49"/>
      <c r="BF135" s="49"/>
      <c r="BG135" s="49"/>
      <c r="BH135" s="49"/>
      <c r="BI135" s="49"/>
      <c r="BJ135" s="49"/>
      <c r="BK135" s="49"/>
      <c r="BL135" s="49"/>
      <c r="BM135" s="49"/>
      <c r="BN135" s="49"/>
      <c r="BO135" s="49"/>
      <c r="BP135" s="49"/>
      <c r="BQ135" s="49"/>
      <c r="BR135" s="49"/>
      <c r="BS135" s="49"/>
      <c r="BT135" s="49"/>
      <c r="BU135" s="49"/>
      <c r="BV135" s="49"/>
      <c r="BW135" s="49"/>
      <c r="BX135" s="49"/>
      <c r="BY135" s="49"/>
      <c r="BZ135" s="49"/>
      <c r="CA135" s="49"/>
      <c r="CB135" s="49"/>
      <c r="CC135" s="49"/>
      <c r="CD135" s="49"/>
      <c r="CE135" s="49"/>
      <c r="CF135" s="49"/>
      <c r="CG135" s="49"/>
      <c r="CH135" s="49"/>
      <c r="CI135" s="49"/>
      <c r="CJ135" s="49"/>
      <c r="CK135" s="49"/>
      <c r="CL135" s="49"/>
      <c r="CM135" s="49"/>
      <c r="CN135" s="49"/>
      <c r="CO135" s="49"/>
      <c r="EJ135" s="13"/>
    </row>
    <row r="136" spans="1:140" s="1" customFormat="1" ht="14.15" customHeight="1" x14ac:dyDescent="0.35">
      <c r="A136" s="196" t="s">
        <v>183</v>
      </c>
      <c r="B136" s="196"/>
      <c r="C136" s="196"/>
      <c r="D136" s="196"/>
      <c r="E136" s="196"/>
      <c r="F136" s="196"/>
      <c r="G136" s="196"/>
      <c r="H136" s="196"/>
      <c r="I136" s="196"/>
      <c r="J136" s="196"/>
      <c r="K136" s="196"/>
      <c r="L136" s="196"/>
      <c r="M136" s="196"/>
      <c r="N136" s="196"/>
      <c r="O136" s="196"/>
      <c r="P136" s="196"/>
      <c r="Q136" s="196"/>
      <c r="R136" s="196"/>
      <c r="S136" s="196"/>
      <c r="T136" s="196"/>
      <c r="U136" s="196"/>
      <c r="V136" s="196"/>
      <c r="W136" s="196"/>
      <c r="X136" s="196"/>
      <c r="Y136" s="196"/>
      <c r="Z136" s="196"/>
      <c r="AA136" s="196"/>
      <c r="AB136" s="196"/>
      <c r="AC136" s="196"/>
      <c r="AD136" s="196"/>
      <c r="AE136" s="196"/>
      <c r="AF136" s="196"/>
      <c r="AG136" s="196"/>
      <c r="AH136" s="196"/>
      <c r="AI136" s="196"/>
      <c r="AJ136" s="196"/>
      <c r="AK136" s="196"/>
      <c r="AL136" s="196"/>
      <c r="AM136" s="196"/>
      <c r="AN136" s="196"/>
      <c r="AO136" s="196"/>
      <c r="AP136" s="196"/>
      <c r="AQ136" s="196"/>
      <c r="AR136" s="196"/>
      <c r="AS136" s="196"/>
      <c r="AT136" s="196"/>
      <c r="AU136" s="13"/>
      <c r="AV136" s="196" t="s">
        <v>192</v>
      </c>
      <c r="AW136" s="196"/>
      <c r="AX136" s="196"/>
      <c r="AY136" s="196"/>
      <c r="AZ136" s="196"/>
      <c r="BA136" s="196"/>
      <c r="BB136" s="196"/>
      <c r="BC136" s="196"/>
      <c r="BD136" s="196"/>
      <c r="BE136" s="196"/>
      <c r="BF136" s="196"/>
      <c r="BG136" s="196"/>
      <c r="BH136" s="196"/>
      <c r="BI136" s="196"/>
      <c r="BJ136" s="196"/>
      <c r="BK136" s="196"/>
      <c r="BL136" s="196"/>
      <c r="BM136" s="196"/>
      <c r="BN136" s="196"/>
      <c r="BO136" s="196"/>
      <c r="BP136" s="196"/>
      <c r="BQ136" s="196"/>
      <c r="BR136" s="196"/>
      <c r="BS136" s="196"/>
      <c r="BT136" s="196"/>
      <c r="BU136" s="196"/>
      <c r="BV136" s="196"/>
      <c r="BW136" s="196"/>
      <c r="BX136" s="196"/>
      <c r="BY136" s="196"/>
      <c r="BZ136" s="196"/>
      <c r="CA136" s="196"/>
      <c r="CB136" s="196"/>
      <c r="CC136" s="196"/>
      <c r="CD136" s="196"/>
      <c r="CE136" s="196"/>
      <c r="CF136" s="196"/>
      <c r="CG136" s="196"/>
      <c r="CH136" s="196"/>
      <c r="CI136" s="196"/>
      <c r="CJ136" s="196"/>
      <c r="CK136" s="196"/>
      <c r="CL136" s="196"/>
      <c r="CM136" s="196"/>
      <c r="CN136" s="196"/>
      <c r="CO136" s="196"/>
      <c r="EJ136" s="13"/>
    </row>
    <row r="137" spans="1:140" s="1" customFormat="1" ht="14.15" customHeight="1" x14ac:dyDescent="0.35">
      <c r="A137" s="202" t="s">
        <v>52</v>
      </c>
      <c r="B137" s="202"/>
      <c r="C137" s="202"/>
      <c r="D137" s="202"/>
      <c r="E137" s="202"/>
      <c r="F137" s="202"/>
      <c r="G137" s="202"/>
      <c r="H137" s="202"/>
      <c r="I137" s="202"/>
      <c r="J137" s="202"/>
      <c r="K137" s="202" t="s">
        <v>189</v>
      </c>
      <c r="L137" s="202"/>
      <c r="M137" s="202"/>
      <c r="N137" s="202"/>
      <c r="O137" s="202"/>
      <c r="P137" s="202"/>
      <c r="Q137" s="202"/>
      <c r="R137" s="202"/>
      <c r="S137" s="202"/>
      <c r="T137" s="202"/>
      <c r="U137" s="202"/>
      <c r="V137" s="202"/>
      <c r="W137" s="202"/>
      <c r="X137" s="202"/>
      <c r="Y137" s="202"/>
      <c r="Z137" s="202"/>
      <c r="AA137" s="202"/>
      <c r="AB137" s="202"/>
      <c r="AC137" s="202" t="s">
        <v>190</v>
      </c>
      <c r="AD137" s="202"/>
      <c r="AE137" s="202"/>
      <c r="AF137" s="202"/>
      <c r="AG137" s="202"/>
      <c r="AH137" s="202"/>
      <c r="AI137" s="202"/>
      <c r="AJ137" s="202"/>
      <c r="AK137" s="202"/>
      <c r="AL137" s="202"/>
      <c r="AM137" s="202"/>
      <c r="AN137" s="202"/>
      <c r="AO137" s="202"/>
      <c r="AP137" s="202"/>
      <c r="AQ137" s="202"/>
      <c r="AR137" s="202"/>
      <c r="AS137" s="202"/>
      <c r="AT137" s="202"/>
      <c r="AU137" s="13"/>
      <c r="AV137" s="137" t="s">
        <v>102</v>
      </c>
      <c r="AW137" s="137"/>
      <c r="AX137" s="137"/>
      <c r="AY137" s="137"/>
      <c r="AZ137" s="137"/>
      <c r="BA137" s="137"/>
      <c r="BB137" s="137"/>
      <c r="BC137" s="137"/>
      <c r="BD137" s="137"/>
      <c r="BE137" s="137"/>
      <c r="BF137" s="171" t="s">
        <v>232</v>
      </c>
      <c r="BG137" s="171"/>
      <c r="BH137" s="171"/>
      <c r="BI137" s="171"/>
      <c r="BJ137" s="171"/>
      <c r="BK137" s="171"/>
      <c r="BL137" s="171"/>
      <c r="BM137" s="171"/>
      <c r="BN137" s="171"/>
      <c r="BO137" s="171"/>
      <c r="BP137" s="171"/>
      <c r="BQ137" s="171"/>
      <c r="BR137" s="171"/>
      <c r="BS137" s="171"/>
      <c r="BT137" s="171"/>
      <c r="BU137" s="171"/>
      <c r="BV137" s="171"/>
      <c r="BW137" s="171"/>
      <c r="BX137" s="171"/>
      <c r="BY137" s="171"/>
      <c r="BZ137" s="171"/>
      <c r="CA137" s="171"/>
      <c r="CB137" s="171"/>
      <c r="CC137" s="171"/>
      <c r="CD137" s="171"/>
      <c r="CE137" s="171"/>
      <c r="CF137" s="171"/>
      <c r="CG137" s="171"/>
      <c r="CH137" s="171"/>
      <c r="CI137" s="171"/>
      <c r="CJ137" s="171"/>
      <c r="CK137" s="171"/>
      <c r="CL137" s="171"/>
      <c r="CM137" s="171"/>
      <c r="CN137" s="171"/>
      <c r="CO137" s="171"/>
      <c r="EJ137" s="13"/>
    </row>
    <row r="138" spans="1:140" s="1" customFormat="1" ht="14.15" customHeight="1" x14ac:dyDescent="0.35">
      <c r="A138" s="202"/>
      <c r="B138" s="202"/>
      <c r="C138" s="202"/>
      <c r="D138" s="202"/>
      <c r="E138" s="202"/>
      <c r="F138" s="202"/>
      <c r="G138" s="202"/>
      <c r="H138" s="202"/>
      <c r="I138" s="202"/>
      <c r="J138" s="202"/>
      <c r="K138" s="202" t="s">
        <v>58</v>
      </c>
      <c r="L138" s="202"/>
      <c r="M138" s="202"/>
      <c r="N138" s="202"/>
      <c r="O138" s="202"/>
      <c r="P138" s="202"/>
      <c r="Q138" s="202"/>
      <c r="R138" s="202"/>
      <c r="S138" s="202"/>
      <c r="T138" s="202" t="s">
        <v>191</v>
      </c>
      <c r="U138" s="202"/>
      <c r="V138" s="202"/>
      <c r="W138" s="202"/>
      <c r="X138" s="202"/>
      <c r="Y138" s="202"/>
      <c r="Z138" s="202"/>
      <c r="AA138" s="202"/>
      <c r="AB138" s="202"/>
      <c r="AC138" s="202" t="s">
        <v>58</v>
      </c>
      <c r="AD138" s="202"/>
      <c r="AE138" s="202"/>
      <c r="AF138" s="202"/>
      <c r="AG138" s="202"/>
      <c r="AH138" s="202"/>
      <c r="AI138" s="202"/>
      <c r="AJ138" s="202"/>
      <c r="AK138" s="202"/>
      <c r="AL138" s="202" t="s">
        <v>191</v>
      </c>
      <c r="AM138" s="202"/>
      <c r="AN138" s="202"/>
      <c r="AO138" s="202"/>
      <c r="AP138" s="202"/>
      <c r="AQ138" s="202"/>
      <c r="AR138" s="202"/>
      <c r="AS138" s="202"/>
      <c r="AT138" s="202"/>
      <c r="AU138" s="13"/>
      <c r="AV138" s="137" t="s">
        <v>109</v>
      </c>
      <c r="AW138" s="137"/>
      <c r="AX138" s="137"/>
      <c r="AY138" s="137"/>
      <c r="AZ138" s="137"/>
      <c r="BA138" s="137"/>
      <c r="BB138" s="137"/>
      <c r="BC138" s="137"/>
      <c r="BD138" s="137"/>
      <c r="BE138" s="137"/>
      <c r="BF138" s="171" t="s">
        <v>232</v>
      </c>
      <c r="BG138" s="171"/>
      <c r="BH138" s="171"/>
      <c r="BI138" s="171"/>
      <c r="BJ138" s="171"/>
      <c r="BK138" s="171"/>
      <c r="BL138" s="171"/>
      <c r="BM138" s="171"/>
      <c r="BN138" s="171"/>
      <c r="BO138" s="171"/>
      <c r="BP138" s="171"/>
      <c r="BQ138" s="171"/>
      <c r="BR138" s="171"/>
      <c r="BS138" s="171"/>
      <c r="BT138" s="171"/>
      <c r="BU138" s="171"/>
      <c r="BV138" s="171"/>
      <c r="BW138" s="171"/>
      <c r="BX138" s="171"/>
      <c r="BY138" s="171"/>
      <c r="BZ138" s="171"/>
      <c r="CA138" s="171"/>
      <c r="CB138" s="171"/>
      <c r="CC138" s="171"/>
      <c r="CD138" s="171"/>
      <c r="CE138" s="171"/>
      <c r="CF138" s="171"/>
      <c r="CG138" s="171"/>
      <c r="CH138" s="171"/>
      <c r="CI138" s="171"/>
      <c r="CJ138" s="171"/>
      <c r="CK138" s="171"/>
      <c r="CL138" s="171"/>
      <c r="CM138" s="171"/>
      <c r="CN138" s="171"/>
      <c r="CO138" s="171"/>
      <c r="EJ138" s="13"/>
    </row>
    <row r="139" spans="1:140" s="1" customFormat="1" ht="14.15" customHeight="1" x14ac:dyDescent="0.35">
      <c r="A139" s="137" t="s">
        <v>102</v>
      </c>
      <c r="B139" s="94"/>
      <c r="C139" s="94"/>
      <c r="D139" s="94"/>
      <c r="E139" s="94"/>
      <c r="F139" s="94"/>
      <c r="G139" s="94"/>
      <c r="H139" s="94"/>
      <c r="I139" s="94"/>
      <c r="J139" s="94"/>
      <c r="K139" s="172" t="s">
        <v>232</v>
      </c>
      <c r="L139" s="173"/>
      <c r="M139" s="173"/>
      <c r="N139" s="173"/>
      <c r="O139" s="173"/>
      <c r="P139" s="173"/>
      <c r="Q139" s="173"/>
      <c r="R139" s="173"/>
      <c r="S139" s="174"/>
      <c r="T139" s="172" t="s">
        <v>207</v>
      </c>
      <c r="U139" s="173"/>
      <c r="V139" s="173"/>
      <c r="W139" s="173"/>
      <c r="X139" s="173"/>
      <c r="Y139" s="173"/>
      <c r="Z139" s="173"/>
      <c r="AA139" s="173"/>
      <c r="AB139" s="174"/>
      <c r="AC139" s="172" t="s">
        <v>232</v>
      </c>
      <c r="AD139" s="173"/>
      <c r="AE139" s="173"/>
      <c r="AF139" s="173"/>
      <c r="AG139" s="173"/>
      <c r="AH139" s="173"/>
      <c r="AI139" s="173"/>
      <c r="AJ139" s="173"/>
      <c r="AK139" s="174"/>
      <c r="AL139" s="171" t="s">
        <v>207</v>
      </c>
      <c r="AM139" s="171"/>
      <c r="AN139" s="171"/>
      <c r="AO139" s="171"/>
      <c r="AP139" s="171"/>
      <c r="AQ139" s="171"/>
      <c r="AR139" s="171"/>
      <c r="AS139" s="171"/>
      <c r="AT139" s="171"/>
      <c r="AU139" s="13"/>
      <c r="AV139" s="205"/>
      <c r="AW139" s="205"/>
      <c r="AX139" s="205"/>
      <c r="AY139" s="205"/>
      <c r="AZ139" s="205"/>
      <c r="BA139" s="205"/>
      <c r="BB139" s="205"/>
      <c r="BC139" s="205"/>
      <c r="BD139" s="205"/>
      <c r="BE139" s="205"/>
      <c r="BF139" s="205"/>
      <c r="BG139" s="205"/>
      <c r="BH139" s="205"/>
      <c r="BI139" s="205"/>
      <c r="BJ139" s="205"/>
      <c r="BK139" s="205"/>
      <c r="BL139" s="205"/>
      <c r="BM139" s="205"/>
      <c r="BN139" s="205"/>
      <c r="BO139" s="205"/>
      <c r="BP139" s="205"/>
      <c r="BQ139" s="205"/>
      <c r="BR139" s="205"/>
      <c r="BS139" s="205"/>
      <c r="BT139" s="205"/>
      <c r="BU139" s="205"/>
      <c r="BV139" s="205"/>
      <c r="BW139" s="205"/>
      <c r="BX139" s="205"/>
      <c r="BY139" s="205"/>
      <c r="BZ139" s="205"/>
      <c r="CA139" s="205"/>
      <c r="CB139" s="205"/>
      <c r="CC139" s="205"/>
      <c r="CD139" s="205"/>
      <c r="CE139" s="205"/>
      <c r="CF139" s="205"/>
      <c r="CG139" s="205"/>
      <c r="CH139" s="205"/>
      <c r="CI139" s="205"/>
      <c r="CJ139" s="205"/>
      <c r="CK139" s="205"/>
      <c r="CL139" s="205"/>
      <c r="CM139" s="205"/>
      <c r="CN139" s="205"/>
      <c r="CO139" s="205"/>
      <c r="EJ139" s="13"/>
    </row>
    <row r="140" spans="1:140" s="1" customFormat="1" ht="14.15" customHeight="1" x14ac:dyDescent="0.35">
      <c r="A140" s="137" t="s">
        <v>184</v>
      </c>
      <c r="B140" s="94"/>
      <c r="C140" s="94"/>
      <c r="D140" s="94"/>
      <c r="E140" s="94"/>
      <c r="F140" s="94"/>
      <c r="G140" s="94"/>
      <c r="H140" s="94"/>
      <c r="I140" s="94"/>
      <c r="J140" s="94"/>
      <c r="K140" s="206" t="s">
        <v>212</v>
      </c>
      <c r="L140" s="206"/>
      <c r="M140" s="206"/>
      <c r="N140" s="206"/>
      <c r="O140" s="206"/>
      <c r="P140" s="206"/>
      <c r="Q140" s="206"/>
      <c r="R140" s="206"/>
      <c r="S140" s="206"/>
      <c r="T140" s="206"/>
      <c r="U140" s="206"/>
      <c r="V140" s="206"/>
      <c r="W140" s="206"/>
      <c r="X140" s="206"/>
      <c r="Y140" s="206"/>
      <c r="Z140" s="206"/>
      <c r="AA140" s="206"/>
      <c r="AB140" s="206"/>
      <c r="AC140" s="206" t="s">
        <v>212</v>
      </c>
      <c r="AD140" s="206"/>
      <c r="AE140" s="206"/>
      <c r="AF140" s="206"/>
      <c r="AG140" s="206"/>
      <c r="AH140" s="206"/>
      <c r="AI140" s="206"/>
      <c r="AJ140" s="206"/>
      <c r="AK140" s="206"/>
      <c r="AL140" s="206"/>
      <c r="AM140" s="206"/>
      <c r="AN140" s="206"/>
      <c r="AO140" s="206"/>
      <c r="AP140" s="206"/>
      <c r="AQ140" s="206"/>
      <c r="AR140" s="206"/>
      <c r="AS140" s="206"/>
      <c r="AT140" s="206"/>
      <c r="AU140" s="13"/>
      <c r="AV140" s="196" t="s">
        <v>193</v>
      </c>
      <c r="AW140" s="196"/>
      <c r="AX140" s="196"/>
      <c r="AY140" s="196"/>
      <c r="AZ140" s="196"/>
      <c r="BA140" s="196"/>
      <c r="BB140" s="196"/>
      <c r="BC140" s="196"/>
      <c r="BD140" s="196"/>
      <c r="BE140" s="196"/>
      <c r="BF140" s="196"/>
      <c r="BG140" s="196"/>
      <c r="BH140" s="196"/>
      <c r="BI140" s="196"/>
      <c r="BJ140" s="196"/>
      <c r="BK140" s="196"/>
      <c r="BL140" s="196"/>
      <c r="BM140" s="196"/>
      <c r="BN140" s="196"/>
      <c r="BO140" s="196"/>
      <c r="BP140" s="196"/>
      <c r="BQ140" s="196"/>
      <c r="BR140" s="196"/>
      <c r="BS140" s="196"/>
      <c r="BT140" s="196"/>
      <c r="BU140" s="196"/>
      <c r="BV140" s="196"/>
      <c r="BW140" s="196"/>
      <c r="BX140" s="196"/>
      <c r="BY140" s="196"/>
      <c r="BZ140" s="196"/>
      <c r="CA140" s="196"/>
      <c r="CB140" s="196"/>
      <c r="CC140" s="196"/>
      <c r="CD140" s="196"/>
      <c r="CE140" s="196"/>
      <c r="CF140" s="196"/>
      <c r="CG140" s="196"/>
      <c r="CH140" s="196"/>
      <c r="CI140" s="196"/>
      <c r="CJ140" s="196"/>
      <c r="CK140" s="196"/>
      <c r="CL140" s="196"/>
      <c r="CM140" s="196"/>
      <c r="CN140" s="196"/>
      <c r="CO140" s="196"/>
      <c r="EJ140" s="13"/>
    </row>
    <row r="141" spans="1:140" s="1" customFormat="1" ht="14.15" customHeight="1" x14ac:dyDescent="0.35">
      <c r="A141" s="137" t="s">
        <v>104</v>
      </c>
      <c r="B141" s="94"/>
      <c r="C141" s="94"/>
      <c r="D141" s="94"/>
      <c r="E141" s="94"/>
      <c r="F141" s="94"/>
      <c r="G141" s="94"/>
      <c r="H141" s="94"/>
      <c r="I141" s="94"/>
      <c r="J141" s="94"/>
      <c r="K141" s="171" t="s">
        <v>232</v>
      </c>
      <c r="L141" s="171"/>
      <c r="M141" s="171"/>
      <c r="N141" s="171"/>
      <c r="O141" s="171"/>
      <c r="P141" s="171"/>
      <c r="Q141" s="171"/>
      <c r="R141" s="171"/>
      <c r="S141" s="171"/>
      <c r="T141" s="171" t="s">
        <v>207</v>
      </c>
      <c r="U141" s="171"/>
      <c r="V141" s="171"/>
      <c r="W141" s="171"/>
      <c r="X141" s="171"/>
      <c r="Y141" s="171"/>
      <c r="Z141" s="171"/>
      <c r="AA141" s="171"/>
      <c r="AB141" s="171"/>
      <c r="AC141" s="171" t="s">
        <v>232</v>
      </c>
      <c r="AD141" s="171"/>
      <c r="AE141" s="171"/>
      <c r="AF141" s="171"/>
      <c r="AG141" s="171"/>
      <c r="AH141" s="171"/>
      <c r="AI141" s="171"/>
      <c r="AJ141" s="171"/>
      <c r="AK141" s="171"/>
      <c r="AL141" s="171" t="s">
        <v>207</v>
      </c>
      <c r="AM141" s="171"/>
      <c r="AN141" s="171"/>
      <c r="AO141" s="171"/>
      <c r="AP141" s="171"/>
      <c r="AQ141" s="171"/>
      <c r="AR141" s="171"/>
      <c r="AS141" s="171"/>
      <c r="AT141" s="171"/>
      <c r="AU141" s="13"/>
      <c r="AV141" s="137" t="s">
        <v>102</v>
      </c>
      <c r="AW141" s="137"/>
      <c r="AX141" s="137"/>
      <c r="AY141" s="137"/>
      <c r="AZ141" s="137"/>
      <c r="BA141" s="137"/>
      <c r="BB141" s="137"/>
      <c r="BC141" s="137"/>
      <c r="BD141" s="137"/>
      <c r="BE141" s="137"/>
      <c r="BF141" s="171" t="s">
        <v>232</v>
      </c>
      <c r="BG141" s="171"/>
      <c r="BH141" s="171"/>
      <c r="BI141" s="171"/>
      <c r="BJ141" s="171"/>
      <c r="BK141" s="171"/>
      <c r="BL141" s="171"/>
      <c r="BM141" s="171"/>
      <c r="BN141" s="171"/>
      <c r="BO141" s="171"/>
      <c r="BP141" s="171"/>
      <c r="BQ141" s="171"/>
      <c r="BR141" s="171"/>
      <c r="BS141" s="171"/>
      <c r="BT141" s="171"/>
      <c r="BU141" s="171"/>
      <c r="BV141" s="171"/>
      <c r="BW141" s="171"/>
      <c r="BX141" s="171"/>
      <c r="BY141" s="171"/>
      <c r="BZ141" s="171"/>
      <c r="CA141" s="171"/>
      <c r="CB141" s="171"/>
      <c r="CC141" s="171"/>
      <c r="CD141" s="171"/>
      <c r="CE141" s="171"/>
      <c r="CF141" s="171"/>
      <c r="CG141" s="171"/>
      <c r="CH141" s="171"/>
      <c r="CI141" s="171"/>
      <c r="CJ141" s="171"/>
      <c r="CK141" s="171"/>
      <c r="CL141" s="171"/>
      <c r="CM141" s="171"/>
      <c r="CN141" s="171"/>
      <c r="CO141" s="171"/>
      <c r="EJ141" s="13"/>
    </row>
    <row r="142" spans="1:140" s="1" customFormat="1" ht="14.15" customHeight="1" x14ac:dyDescent="0.35">
      <c r="A142" s="137" t="s">
        <v>185</v>
      </c>
      <c r="B142" s="94"/>
      <c r="C142" s="94"/>
      <c r="D142" s="94"/>
      <c r="E142" s="94"/>
      <c r="F142" s="94"/>
      <c r="G142" s="94"/>
      <c r="H142" s="94"/>
      <c r="I142" s="94"/>
      <c r="J142" s="94"/>
      <c r="K142" s="171" t="s">
        <v>232</v>
      </c>
      <c r="L142" s="171"/>
      <c r="M142" s="171"/>
      <c r="N142" s="171"/>
      <c r="O142" s="171"/>
      <c r="P142" s="171"/>
      <c r="Q142" s="171"/>
      <c r="R142" s="171"/>
      <c r="S142" s="171"/>
      <c r="T142" s="171" t="s">
        <v>207</v>
      </c>
      <c r="U142" s="171"/>
      <c r="V142" s="171"/>
      <c r="W142" s="171"/>
      <c r="X142" s="171"/>
      <c r="Y142" s="171"/>
      <c r="Z142" s="171"/>
      <c r="AA142" s="171"/>
      <c r="AB142" s="171"/>
      <c r="AC142" s="171" t="s">
        <v>232</v>
      </c>
      <c r="AD142" s="171"/>
      <c r="AE142" s="171"/>
      <c r="AF142" s="171"/>
      <c r="AG142" s="171"/>
      <c r="AH142" s="171"/>
      <c r="AI142" s="171"/>
      <c r="AJ142" s="171"/>
      <c r="AK142" s="171"/>
      <c r="AL142" s="171" t="s">
        <v>207</v>
      </c>
      <c r="AM142" s="171"/>
      <c r="AN142" s="171"/>
      <c r="AO142" s="171"/>
      <c r="AP142" s="171"/>
      <c r="AQ142" s="171"/>
      <c r="AR142" s="171"/>
      <c r="AS142" s="171"/>
      <c r="AT142" s="171"/>
      <c r="AU142" s="13"/>
      <c r="AV142" s="137"/>
      <c r="AW142" s="137"/>
      <c r="AX142" s="137"/>
      <c r="AY142" s="137"/>
      <c r="AZ142" s="137"/>
      <c r="BA142" s="137"/>
      <c r="BB142" s="137"/>
      <c r="BC142" s="137"/>
      <c r="BD142" s="137"/>
      <c r="BE142" s="137"/>
      <c r="BF142" s="171"/>
      <c r="BG142" s="171"/>
      <c r="BH142" s="171"/>
      <c r="BI142" s="171"/>
      <c r="BJ142" s="171"/>
      <c r="BK142" s="171"/>
      <c r="BL142" s="171"/>
      <c r="BM142" s="171"/>
      <c r="BN142" s="171"/>
      <c r="BO142" s="171"/>
      <c r="BP142" s="171"/>
      <c r="BQ142" s="171"/>
      <c r="BR142" s="171"/>
      <c r="BS142" s="171"/>
      <c r="BT142" s="171"/>
      <c r="BU142" s="171"/>
      <c r="BV142" s="171"/>
      <c r="BW142" s="171"/>
      <c r="BX142" s="171"/>
      <c r="BY142" s="171"/>
      <c r="BZ142" s="171"/>
      <c r="CA142" s="171"/>
      <c r="CB142" s="171"/>
      <c r="CC142" s="171"/>
      <c r="CD142" s="171"/>
      <c r="CE142" s="171"/>
      <c r="CF142" s="171"/>
      <c r="CG142" s="171"/>
      <c r="CH142" s="171"/>
      <c r="CI142" s="171"/>
      <c r="CJ142" s="171"/>
      <c r="CK142" s="171"/>
      <c r="CL142" s="171"/>
      <c r="CM142" s="171"/>
      <c r="CN142" s="171"/>
      <c r="CO142" s="171"/>
      <c r="EJ142" s="13"/>
    </row>
    <row r="143" spans="1:140" s="1" customFormat="1" ht="14.15" customHeight="1" x14ac:dyDescent="0.35">
      <c r="A143" s="137" t="s">
        <v>186</v>
      </c>
      <c r="B143" s="94"/>
      <c r="C143" s="94"/>
      <c r="D143" s="94"/>
      <c r="E143" s="94"/>
      <c r="F143" s="94"/>
      <c r="G143" s="94"/>
      <c r="H143" s="94"/>
      <c r="I143" s="94"/>
      <c r="J143" s="94"/>
      <c r="K143" s="171" t="s">
        <v>232</v>
      </c>
      <c r="L143" s="171"/>
      <c r="M143" s="171"/>
      <c r="N143" s="171"/>
      <c r="O143" s="171"/>
      <c r="P143" s="171"/>
      <c r="Q143" s="171"/>
      <c r="R143" s="171"/>
      <c r="S143" s="171"/>
      <c r="T143" s="171" t="s">
        <v>207</v>
      </c>
      <c r="U143" s="171"/>
      <c r="V143" s="171"/>
      <c r="W143" s="171"/>
      <c r="X143" s="171"/>
      <c r="Y143" s="171"/>
      <c r="Z143" s="171"/>
      <c r="AA143" s="171"/>
      <c r="AB143" s="171"/>
      <c r="AC143" s="171" t="s">
        <v>232</v>
      </c>
      <c r="AD143" s="171"/>
      <c r="AE143" s="171"/>
      <c r="AF143" s="171"/>
      <c r="AG143" s="171"/>
      <c r="AH143" s="171"/>
      <c r="AI143" s="171"/>
      <c r="AJ143" s="171"/>
      <c r="AK143" s="171"/>
      <c r="AL143" s="171" t="s">
        <v>207</v>
      </c>
      <c r="AM143" s="171"/>
      <c r="AN143" s="171"/>
      <c r="AO143" s="171"/>
      <c r="AP143" s="171"/>
      <c r="AQ143" s="171"/>
      <c r="AR143" s="171"/>
      <c r="AS143" s="171"/>
      <c r="AT143" s="171"/>
      <c r="AU143" s="13"/>
      <c r="AV143" s="137" t="s">
        <v>194</v>
      </c>
      <c r="AW143" s="137"/>
      <c r="AX143" s="137"/>
      <c r="AY143" s="137"/>
      <c r="AZ143" s="137"/>
      <c r="BA143" s="137"/>
      <c r="BB143" s="137"/>
      <c r="BC143" s="137"/>
      <c r="BD143" s="137"/>
      <c r="BE143" s="137"/>
      <c r="BF143" s="198" t="s">
        <v>232</v>
      </c>
      <c r="BG143" s="198"/>
      <c r="BH143" s="198"/>
      <c r="BI143" s="198"/>
      <c r="BJ143" s="198"/>
      <c r="BK143" s="198"/>
      <c r="BL143" s="198"/>
      <c r="BM143" s="198"/>
      <c r="BN143" s="198"/>
      <c r="BO143" s="199"/>
      <c r="BP143" s="199"/>
      <c r="BQ143" s="199"/>
      <c r="BR143" s="199"/>
      <c r="BS143" s="199"/>
      <c r="BT143" s="199"/>
      <c r="BU143" s="199"/>
      <c r="BV143" s="199"/>
      <c r="BW143" s="199"/>
      <c r="BX143" s="199"/>
      <c r="BY143" s="199"/>
      <c r="BZ143" s="199"/>
      <c r="CA143" s="199"/>
      <c r="CB143" s="199"/>
      <c r="CC143" s="199"/>
      <c r="CD143" s="199"/>
      <c r="CE143" s="199"/>
      <c r="CF143" s="199"/>
      <c r="CG143" s="199"/>
      <c r="CH143" s="199"/>
      <c r="CI143" s="199"/>
      <c r="CJ143" s="199"/>
      <c r="CK143" s="199"/>
      <c r="CL143" s="199"/>
      <c r="CM143" s="199"/>
      <c r="CN143" s="199"/>
      <c r="CO143" s="199"/>
      <c r="EJ143" s="13"/>
    </row>
    <row r="144" spans="1:140" s="1" customFormat="1" ht="14.15" customHeight="1" x14ac:dyDescent="0.35">
      <c r="A144" s="137" t="s">
        <v>187</v>
      </c>
      <c r="B144" s="94"/>
      <c r="C144" s="94"/>
      <c r="D144" s="94"/>
      <c r="E144" s="94"/>
      <c r="F144" s="94"/>
      <c r="G144" s="94"/>
      <c r="H144" s="94"/>
      <c r="I144" s="94"/>
      <c r="J144" s="94"/>
      <c r="K144" s="171" t="s">
        <v>232</v>
      </c>
      <c r="L144" s="171"/>
      <c r="M144" s="171"/>
      <c r="N144" s="171"/>
      <c r="O144" s="171"/>
      <c r="P144" s="171"/>
      <c r="Q144" s="171"/>
      <c r="R144" s="171"/>
      <c r="S144" s="171"/>
      <c r="T144" s="171" t="s">
        <v>207</v>
      </c>
      <c r="U144" s="171"/>
      <c r="V144" s="171"/>
      <c r="W144" s="171"/>
      <c r="X144" s="171"/>
      <c r="Y144" s="171"/>
      <c r="Z144" s="171"/>
      <c r="AA144" s="171"/>
      <c r="AB144" s="171"/>
      <c r="AC144" s="171" t="s">
        <v>232</v>
      </c>
      <c r="AD144" s="171"/>
      <c r="AE144" s="171"/>
      <c r="AF144" s="171"/>
      <c r="AG144" s="171"/>
      <c r="AH144" s="171"/>
      <c r="AI144" s="171"/>
      <c r="AJ144" s="171"/>
      <c r="AK144" s="171"/>
      <c r="AL144" s="171" t="s">
        <v>207</v>
      </c>
      <c r="AM144" s="171"/>
      <c r="AN144" s="171"/>
      <c r="AO144" s="171"/>
      <c r="AP144" s="171"/>
      <c r="AQ144" s="171"/>
      <c r="AR144" s="171"/>
      <c r="AS144" s="171"/>
      <c r="AT144" s="171"/>
      <c r="AU144" s="13"/>
      <c r="AV144" s="197" t="s">
        <v>196</v>
      </c>
      <c r="AW144" s="197"/>
      <c r="AX144" s="197"/>
      <c r="AY144" s="197"/>
      <c r="AZ144" s="197"/>
      <c r="BA144" s="197"/>
      <c r="BB144" s="197"/>
      <c r="BC144" s="197"/>
      <c r="BD144" s="197"/>
      <c r="BE144" s="197"/>
      <c r="BF144" s="171" t="s">
        <v>232</v>
      </c>
      <c r="BG144" s="171"/>
      <c r="BH144" s="171"/>
      <c r="BI144" s="171"/>
      <c r="BJ144" s="171"/>
      <c r="BK144" s="171"/>
      <c r="BL144" s="171"/>
      <c r="BM144" s="171"/>
      <c r="BN144" s="171"/>
      <c r="BO144" s="171"/>
      <c r="BP144" s="171"/>
      <c r="BQ144" s="171"/>
      <c r="BR144" s="171"/>
      <c r="BS144" s="171"/>
      <c r="BT144" s="171"/>
      <c r="BU144" s="171"/>
      <c r="BV144" s="171"/>
      <c r="BW144" s="171"/>
      <c r="BX144" s="171"/>
      <c r="BY144" s="171"/>
      <c r="BZ144" s="171"/>
      <c r="CA144" s="171"/>
      <c r="CB144" s="171"/>
      <c r="CC144" s="171"/>
      <c r="CD144" s="171"/>
      <c r="CE144" s="171"/>
      <c r="CF144" s="171"/>
      <c r="CG144" s="171"/>
      <c r="CH144" s="171"/>
      <c r="CI144" s="171"/>
      <c r="CJ144" s="171"/>
      <c r="CK144" s="171"/>
      <c r="CL144" s="171"/>
      <c r="CM144" s="171"/>
      <c r="CN144" s="171"/>
      <c r="CO144" s="171"/>
      <c r="EJ144" s="13"/>
    </row>
    <row r="145" spans="1:140" s="1" customFormat="1" ht="14.15" customHeight="1" x14ac:dyDescent="0.35">
      <c r="A145" s="137" t="s">
        <v>188</v>
      </c>
      <c r="B145" s="137"/>
      <c r="C145" s="137"/>
      <c r="D145" s="137"/>
      <c r="E145" s="137"/>
      <c r="F145" s="137"/>
      <c r="G145" s="137"/>
      <c r="H145" s="137"/>
      <c r="I145" s="137"/>
      <c r="J145" s="137"/>
      <c r="K145" s="171">
        <f>X35</f>
        <v>0</v>
      </c>
      <c r="L145" s="171"/>
      <c r="M145" s="171"/>
      <c r="N145" s="171"/>
      <c r="O145" s="171"/>
      <c r="P145" s="171"/>
      <c r="Q145" s="171"/>
      <c r="R145" s="171"/>
      <c r="S145" s="171"/>
      <c r="T145" s="171" t="str">
        <f>IF(BG35="Not Applicable", "-", BG35)</f>
        <v>-</v>
      </c>
      <c r="U145" s="171"/>
      <c r="V145" s="171"/>
      <c r="W145" s="171"/>
      <c r="X145" s="171"/>
      <c r="Y145" s="171"/>
      <c r="Z145" s="171"/>
      <c r="AA145" s="171"/>
      <c r="AB145" s="171"/>
      <c r="AC145" s="207" t="str">
        <f>X36</f>
        <v>11kV/110V</v>
      </c>
      <c r="AD145" s="208"/>
      <c r="AE145" s="208"/>
      <c r="AF145" s="208"/>
      <c r="AG145" s="208"/>
      <c r="AH145" s="208"/>
      <c r="AI145" s="208"/>
      <c r="AJ145" s="208"/>
      <c r="AK145" s="209"/>
      <c r="AL145" s="171" t="str">
        <f>IF(BG36="Not Applicable", "-",BG36)</f>
        <v>-</v>
      </c>
      <c r="AM145" s="171"/>
      <c r="AN145" s="171"/>
      <c r="AO145" s="171"/>
      <c r="AP145" s="171"/>
      <c r="AQ145" s="171"/>
      <c r="AR145" s="171"/>
      <c r="AS145" s="171"/>
      <c r="AT145" s="171"/>
      <c r="AU145" s="13"/>
      <c r="AV145" s="197" t="s">
        <v>195</v>
      </c>
      <c r="AW145" s="197"/>
      <c r="AX145" s="197"/>
      <c r="AY145" s="197"/>
      <c r="AZ145" s="197"/>
      <c r="BA145" s="197"/>
      <c r="BB145" s="197"/>
      <c r="BC145" s="197"/>
      <c r="BD145" s="197"/>
      <c r="BE145" s="197"/>
      <c r="BF145" s="171" t="s">
        <v>232</v>
      </c>
      <c r="BG145" s="171"/>
      <c r="BH145" s="171"/>
      <c r="BI145" s="171"/>
      <c r="BJ145" s="171"/>
      <c r="BK145" s="171"/>
      <c r="BL145" s="171"/>
      <c r="BM145" s="171"/>
      <c r="BN145" s="171"/>
      <c r="BO145" s="171"/>
      <c r="BP145" s="171"/>
      <c r="BQ145" s="171"/>
      <c r="BR145" s="171"/>
      <c r="BS145" s="171"/>
      <c r="BT145" s="171"/>
      <c r="BU145" s="171"/>
      <c r="BV145" s="171"/>
      <c r="BW145" s="171"/>
      <c r="BX145" s="171"/>
      <c r="BY145" s="171"/>
      <c r="BZ145" s="171"/>
      <c r="CA145" s="171"/>
      <c r="CB145" s="171"/>
      <c r="CC145" s="171"/>
      <c r="CD145" s="171"/>
      <c r="CE145" s="171"/>
      <c r="CF145" s="171"/>
      <c r="CG145" s="171"/>
      <c r="CH145" s="171"/>
      <c r="CI145" s="171"/>
      <c r="CJ145" s="171"/>
      <c r="CK145" s="171"/>
      <c r="CL145" s="171"/>
      <c r="CM145" s="171"/>
      <c r="CN145" s="171"/>
      <c r="CO145" s="171"/>
      <c r="EJ145" s="13"/>
    </row>
    <row r="146" spans="1:140" s="1" customFormat="1" ht="14.15" customHeight="1" x14ac:dyDescent="0.35">
      <c r="A146" s="204" t="s">
        <v>109</v>
      </c>
      <c r="B146" s="204"/>
      <c r="C146" s="202" t="s">
        <v>176</v>
      </c>
      <c r="D146" s="202"/>
      <c r="E146" s="202"/>
      <c r="F146" s="202"/>
      <c r="G146" s="202"/>
      <c r="H146" s="202"/>
      <c r="I146" s="202"/>
      <c r="J146" s="202"/>
      <c r="K146" s="171" t="s">
        <v>232</v>
      </c>
      <c r="L146" s="171"/>
      <c r="M146" s="171"/>
      <c r="N146" s="171"/>
      <c r="O146" s="171"/>
      <c r="P146" s="171"/>
      <c r="Q146" s="171"/>
      <c r="R146" s="171"/>
      <c r="S146" s="171"/>
      <c r="T146" s="171" t="s">
        <v>207</v>
      </c>
      <c r="U146" s="171"/>
      <c r="V146" s="171"/>
      <c r="W146" s="171"/>
      <c r="X146" s="171"/>
      <c r="Y146" s="171"/>
      <c r="Z146" s="171"/>
      <c r="AA146" s="171"/>
      <c r="AB146" s="171"/>
      <c r="AC146" s="171" t="s">
        <v>232</v>
      </c>
      <c r="AD146" s="171"/>
      <c r="AE146" s="171"/>
      <c r="AF146" s="171"/>
      <c r="AG146" s="171"/>
      <c r="AH146" s="171"/>
      <c r="AI146" s="171"/>
      <c r="AJ146" s="171"/>
      <c r="AK146" s="171"/>
      <c r="AL146" s="171" t="s">
        <v>207</v>
      </c>
      <c r="AM146" s="171"/>
      <c r="AN146" s="171"/>
      <c r="AO146" s="171"/>
      <c r="AP146" s="171"/>
      <c r="AQ146" s="171"/>
      <c r="AR146" s="171"/>
      <c r="AS146" s="171"/>
      <c r="AT146" s="171"/>
      <c r="AU146" s="13"/>
      <c r="AV146" s="197" t="s">
        <v>197</v>
      </c>
      <c r="AW146" s="197"/>
      <c r="AX146" s="197"/>
      <c r="AY146" s="197"/>
      <c r="AZ146" s="197"/>
      <c r="BA146" s="197"/>
      <c r="BB146" s="197"/>
      <c r="BC146" s="197"/>
      <c r="BD146" s="197"/>
      <c r="BE146" s="197"/>
      <c r="BF146" s="171" t="s">
        <v>232</v>
      </c>
      <c r="BG146" s="171"/>
      <c r="BH146" s="171"/>
      <c r="BI146" s="171"/>
      <c r="BJ146" s="171"/>
      <c r="BK146" s="171"/>
      <c r="BL146" s="171"/>
      <c r="BM146" s="171"/>
      <c r="BN146" s="171"/>
      <c r="BO146" s="171"/>
      <c r="BP146" s="171"/>
      <c r="BQ146" s="171"/>
      <c r="BR146" s="171"/>
      <c r="BS146" s="171"/>
      <c r="BT146" s="171"/>
      <c r="BU146" s="171"/>
      <c r="BV146" s="171"/>
      <c r="BW146" s="171"/>
      <c r="BX146" s="171"/>
      <c r="BY146" s="171"/>
      <c r="BZ146" s="171"/>
      <c r="CA146" s="171"/>
      <c r="CB146" s="171"/>
      <c r="CC146" s="171"/>
      <c r="CD146" s="171"/>
      <c r="CE146" s="171"/>
      <c r="CF146" s="171"/>
      <c r="CG146" s="171"/>
      <c r="CH146" s="171"/>
      <c r="CI146" s="171"/>
      <c r="CJ146" s="171"/>
      <c r="CK146" s="171"/>
      <c r="CL146" s="171"/>
      <c r="CM146" s="171"/>
      <c r="CN146" s="171"/>
      <c r="CO146" s="171"/>
      <c r="EJ146" s="13"/>
    </row>
    <row r="147" spans="1:140" s="1" customFormat="1" ht="14.15" customHeight="1" x14ac:dyDescent="0.35">
      <c r="A147" s="204"/>
      <c r="B147" s="204"/>
      <c r="C147" s="202" t="s">
        <v>179</v>
      </c>
      <c r="D147" s="202"/>
      <c r="E147" s="202"/>
      <c r="F147" s="202"/>
      <c r="G147" s="202"/>
      <c r="H147" s="202"/>
      <c r="I147" s="202"/>
      <c r="J147" s="202"/>
      <c r="K147" s="171" t="s">
        <v>232</v>
      </c>
      <c r="L147" s="171"/>
      <c r="M147" s="171"/>
      <c r="N147" s="171"/>
      <c r="O147" s="171"/>
      <c r="P147" s="171"/>
      <c r="Q147" s="171"/>
      <c r="R147" s="171"/>
      <c r="S147" s="171"/>
      <c r="T147" s="171" t="s">
        <v>207</v>
      </c>
      <c r="U147" s="171"/>
      <c r="V147" s="171"/>
      <c r="W147" s="171"/>
      <c r="X147" s="171"/>
      <c r="Y147" s="171"/>
      <c r="Z147" s="171"/>
      <c r="AA147" s="171"/>
      <c r="AB147" s="171"/>
      <c r="AC147" s="171" t="s">
        <v>232</v>
      </c>
      <c r="AD147" s="171"/>
      <c r="AE147" s="171"/>
      <c r="AF147" s="171"/>
      <c r="AG147" s="171"/>
      <c r="AH147" s="171"/>
      <c r="AI147" s="171"/>
      <c r="AJ147" s="171"/>
      <c r="AK147" s="171"/>
      <c r="AL147" s="171" t="s">
        <v>207</v>
      </c>
      <c r="AM147" s="171"/>
      <c r="AN147" s="171"/>
      <c r="AO147" s="171"/>
      <c r="AP147" s="171"/>
      <c r="AQ147" s="171"/>
      <c r="AR147" s="171"/>
      <c r="AS147" s="171"/>
      <c r="AT147" s="171"/>
      <c r="AU147" s="13"/>
      <c r="AV147" s="197"/>
      <c r="AW147" s="197"/>
      <c r="AX147" s="197"/>
      <c r="AY147" s="197"/>
      <c r="AZ147" s="197"/>
      <c r="BA147" s="197"/>
      <c r="BB147" s="197"/>
      <c r="BC147" s="197"/>
      <c r="BD147" s="197"/>
      <c r="BE147" s="197"/>
      <c r="BF147" s="171"/>
      <c r="BG147" s="171"/>
      <c r="BH147" s="171"/>
      <c r="BI147" s="171"/>
      <c r="BJ147" s="171"/>
      <c r="BK147" s="171"/>
      <c r="BL147" s="171"/>
      <c r="BM147" s="171"/>
      <c r="BN147" s="171"/>
      <c r="BO147" s="171"/>
      <c r="BP147" s="171"/>
      <c r="BQ147" s="171"/>
      <c r="BR147" s="171"/>
      <c r="BS147" s="171"/>
      <c r="BT147" s="171"/>
      <c r="BU147" s="171"/>
      <c r="BV147" s="171"/>
      <c r="BW147" s="171"/>
      <c r="BX147" s="171"/>
      <c r="BY147" s="171"/>
      <c r="BZ147" s="171"/>
      <c r="CA147" s="171"/>
      <c r="CB147" s="171"/>
      <c r="CC147" s="171"/>
      <c r="CD147" s="171"/>
      <c r="CE147" s="171"/>
      <c r="CF147" s="171"/>
      <c r="CG147" s="171"/>
      <c r="CH147" s="171"/>
      <c r="CI147" s="171"/>
      <c r="CJ147" s="171"/>
      <c r="CK147" s="171"/>
      <c r="CL147" s="171"/>
      <c r="CM147" s="171"/>
      <c r="CN147" s="171"/>
      <c r="CO147" s="171"/>
      <c r="EJ147" s="13"/>
    </row>
    <row r="148" spans="1:140" s="1" customFormat="1" ht="14.15" customHeight="1" x14ac:dyDescent="0.35">
      <c r="A148" s="204"/>
      <c r="B148" s="204"/>
      <c r="C148" s="202" t="s">
        <v>180</v>
      </c>
      <c r="D148" s="202"/>
      <c r="E148" s="202"/>
      <c r="F148" s="202"/>
      <c r="G148" s="202"/>
      <c r="H148" s="202"/>
      <c r="I148" s="202"/>
      <c r="J148" s="202"/>
      <c r="K148" s="171" t="s">
        <v>232</v>
      </c>
      <c r="L148" s="171"/>
      <c r="M148" s="171"/>
      <c r="N148" s="171"/>
      <c r="O148" s="171"/>
      <c r="P148" s="171"/>
      <c r="Q148" s="171"/>
      <c r="R148" s="171"/>
      <c r="S148" s="171"/>
      <c r="T148" s="171" t="s">
        <v>207</v>
      </c>
      <c r="U148" s="171"/>
      <c r="V148" s="171"/>
      <c r="W148" s="171"/>
      <c r="X148" s="171"/>
      <c r="Y148" s="171"/>
      <c r="Z148" s="171"/>
      <c r="AA148" s="171"/>
      <c r="AB148" s="171"/>
      <c r="AC148" s="171" t="s">
        <v>232</v>
      </c>
      <c r="AD148" s="171"/>
      <c r="AE148" s="171"/>
      <c r="AF148" s="171"/>
      <c r="AG148" s="171"/>
      <c r="AH148" s="171"/>
      <c r="AI148" s="171"/>
      <c r="AJ148" s="171"/>
      <c r="AK148" s="171"/>
      <c r="AL148" s="171" t="s">
        <v>207</v>
      </c>
      <c r="AM148" s="171"/>
      <c r="AN148" s="171"/>
      <c r="AO148" s="171"/>
      <c r="AP148" s="171"/>
      <c r="AQ148" s="171"/>
      <c r="AR148" s="171"/>
      <c r="AS148" s="171"/>
      <c r="AT148" s="171"/>
      <c r="AU148" s="13"/>
      <c r="AV148" s="197" t="s">
        <v>109</v>
      </c>
      <c r="AW148" s="197"/>
      <c r="AX148" s="197"/>
      <c r="AY148" s="197"/>
      <c r="AZ148" s="197"/>
      <c r="BA148" s="197"/>
      <c r="BB148" s="197"/>
      <c r="BC148" s="197"/>
      <c r="BD148" s="197"/>
      <c r="BE148" s="197"/>
      <c r="BF148" s="171" t="s">
        <v>232</v>
      </c>
      <c r="BG148" s="171"/>
      <c r="BH148" s="171"/>
      <c r="BI148" s="171"/>
      <c r="BJ148" s="171"/>
      <c r="BK148" s="171"/>
      <c r="BL148" s="171"/>
      <c r="BM148" s="171"/>
      <c r="BN148" s="171"/>
      <c r="BO148" s="171"/>
      <c r="BP148" s="171"/>
      <c r="BQ148" s="171"/>
      <c r="BR148" s="171"/>
      <c r="BS148" s="171"/>
      <c r="BT148" s="171"/>
      <c r="BU148" s="171"/>
      <c r="BV148" s="171"/>
      <c r="BW148" s="171"/>
      <c r="BX148" s="171"/>
      <c r="BY148" s="171"/>
      <c r="BZ148" s="171"/>
      <c r="CA148" s="171"/>
      <c r="CB148" s="171"/>
      <c r="CC148" s="171"/>
      <c r="CD148" s="171"/>
      <c r="CE148" s="171"/>
      <c r="CF148" s="171"/>
      <c r="CG148" s="171"/>
      <c r="CH148" s="171"/>
      <c r="CI148" s="171"/>
      <c r="CJ148" s="171"/>
      <c r="CK148" s="171"/>
      <c r="CL148" s="171"/>
      <c r="CM148" s="171"/>
      <c r="CN148" s="171"/>
      <c r="CO148" s="171"/>
      <c r="EJ148" s="13"/>
    </row>
    <row r="149" spans="1:140" s="1" customFormat="1" ht="10" customHeight="1" x14ac:dyDescent="0.35">
      <c r="A149" s="47"/>
      <c r="B149" s="47"/>
      <c r="C149" s="47"/>
      <c r="D149" s="47"/>
      <c r="E149" s="47"/>
      <c r="F149" s="47"/>
      <c r="G149" s="47"/>
      <c r="H149" s="47"/>
      <c r="I149" s="47"/>
      <c r="J149" s="47"/>
      <c r="K149" s="47"/>
      <c r="L149" s="47"/>
      <c r="M149" s="47"/>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c r="AK149" s="49"/>
      <c r="AL149" s="49"/>
      <c r="AM149" s="49"/>
      <c r="AN149" s="49"/>
      <c r="AO149" s="49"/>
      <c r="AP149" s="49"/>
      <c r="AQ149" s="49"/>
      <c r="AR149" s="49"/>
      <c r="AS149" s="49"/>
      <c r="AT149" s="49"/>
      <c r="AU149" s="49"/>
      <c r="AV149" s="49"/>
      <c r="AW149" s="49"/>
      <c r="AX149" s="49"/>
      <c r="AY149" s="49"/>
      <c r="AZ149" s="49"/>
      <c r="BA149" s="49"/>
      <c r="BB149" s="49"/>
      <c r="BC149" s="49"/>
      <c r="BD149" s="49"/>
      <c r="BE149" s="49"/>
      <c r="BF149" s="49"/>
      <c r="BG149" s="49"/>
      <c r="BH149" s="49"/>
      <c r="BI149" s="49"/>
      <c r="BJ149" s="49"/>
      <c r="BK149" s="49"/>
      <c r="BL149" s="49"/>
      <c r="BM149" s="49"/>
      <c r="BN149" s="49"/>
      <c r="BO149" s="49"/>
      <c r="BP149" s="49"/>
      <c r="BQ149" s="49"/>
      <c r="BR149" s="49"/>
      <c r="BS149" s="49"/>
      <c r="BT149" s="49"/>
      <c r="BU149" s="49"/>
      <c r="BV149" s="49"/>
      <c r="BW149" s="49"/>
      <c r="BX149" s="49"/>
      <c r="BY149" s="49"/>
      <c r="BZ149" s="49"/>
      <c r="CA149" s="49"/>
      <c r="CB149" s="49"/>
      <c r="CC149" s="49"/>
      <c r="CD149" s="49"/>
      <c r="CE149" s="49"/>
      <c r="CF149" s="49"/>
      <c r="CG149" s="49"/>
      <c r="CH149" s="49"/>
      <c r="CI149" s="49"/>
      <c r="CJ149" s="49"/>
      <c r="CK149" s="49"/>
      <c r="CL149" s="49"/>
      <c r="CM149" s="49"/>
      <c r="CN149" s="49"/>
      <c r="CO149" s="49"/>
      <c r="EJ149" s="13"/>
    </row>
    <row r="150" spans="1:140" s="1" customFormat="1" ht="13" customHeight="1" x14ac:dyDescent="0.35">
      <c r="A150" s="74" t="s">
        <v>203</v>
      </c>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c r="AM150" s="74"/>
      <c r="AN150" s="74"/>
      <c r="AO150" s="74"/>
      <c r="AP150" s="74"/>
      <c r="AQ150" s="74"/>
      <c r="AR150" s="74"/>
      <c r="AS150" s="74"/>
      <c r="AT150" s="74"/>
      <c r="AU150" s="74"/>
      <c r="AV150" s="74"/>
      <c r="AW150" s="74"/>
      <c r="AX150" s="74"/>
      <c r="AY150" s="74"/>
      <c r="AZ150" s="74"/>
      <c r="BA150" s="74"/>
      <c r="BB150" s="74"/>
      <c r="BC150" s="74"/>
      <c r="BD150" s="74"/>
      <c r="BE150" s="74"/>
      <c r="BF150" s="74"/>
      <c r="BG150" s="74"/>
      <c r="BH150" s="74"/>
      <c r="BI150" s="74"/>
      <c r="BJ150" s="74"/>
      <c r="BK150" s="74"/>
      <c r="BL150" s="74"/>
      <c r="BM150" s="74"/>
      <c r="BN150" s="74"/>
      <c r="BO150" s="74"/>
      <c r="BP150" s="74"/>
      <c r="BQ150" s="74"/>
      <c r="BR150" s="74"/>
      <c r="BS150" s="74"/>
      <c r="BT150" s="74"/>
      <c r="BU150" s="74"/>
      <c r="BV150" s="74"/>
      <c r="BW150" s="74"/>
      <c r="BX150" s="74"/>
      <c r="BY150" s="74"/>
      <c r="BZ150" s="74"/>
      <c r="CA150" s="74"/>
      <c r="CB150" s="74"/>
      <c r="CC150" s="74"/>
      <c r="CD150" s="74"/>
      <c r="CE150" s="74"/>
      <c r="CF150" s="74"/>
      <c r="CG150" s="74"/>
      <c r="CH150" s="74"/>
      <c r="CI150" s="74"/>
      <c r="CJ150" s="74"/>
      <c r="CK150" s="74"/>
      <c r="CL150" s="74"/>
      <c r="CM150" s="74"/>
      <c r="CN150" s="74"/>
      <c r="CO150" s="74"/>
      <c r="EJ150" s="13"/>
    </row>
    <row r="151" spans="1:140" s="1" customFormat="1" ht="13" customHeight="1" x14ac:dyDescent="0.35">
      <c r="A151" s="137" t="s">
        <v>52</v>
      </c>
      <c r="B151" s="137"/>
      <c r="C151" s="137"/>
      <c r="D151" s="137"/>
      <c r="E151" s="137"/>
      <c r="F151" s="137"/>
      <c r="G151" s="137"/>
      <c r="H151" s="137"/>
      <c r="I151" s="137"/>
      <c r="J151" s="137"/>
      <c r="K151" s="137"/>
      <c r="L151" s="137"/>
      <c r="M151" s="137"/>
      <c r="N151" s="137"/>
      <c r="O151" s="202" t="s">
        <v>181</v>
      </c>
      <c r="P151" s="202"/>
      <c r="Q151" s="202"/>
      <c r="R151" s="202"/>
      <c r="S151" s="202"/>
      <c r="T151" s="202"/>
      <c r="U151" s="202"/>
      <c r="V151" s="202"/>
      <c r="W151" s="202"/>
      <c r="X151" s="202"/>
      <c r="Y151" s="202"/>
      <c r="Z151" s="202"/>
      <c r="AA151" s="202"/>
      <c r="AB151" s="202"/>
      <c r="AC151" s="202"/>
      <c r="AD151" s="202"/>
      <c r="AE151" s="202"/>
      <c r="AF151" s="202"/>
      <c r="AG151" s="202"/>
      <c r="AH151" s="202"/>
      <c r="AI151" s="202"/>
      <c r="AJ151" s="202" t="s">
        <v>202</v>
      </c>
      <c r="AK151" s="202"/>
      <c r="AL151" s="202"/>
      <c r="AM151" s="202"/>
      <c r="AN151" s="202"/>
      <c r="AO151" s="202"/>
      <c r="AP151" s="202"/>
      <c r="AQ151" s="202"/>
      <c r="AR151" s="202"/>
      <c r="AS151" s="202"/>
      <c r="AT151" s="202"/>
      <c r="AU151" s="202"/>
      <c r="AV151" s="202"/>
      <c r="AW151" s="202"/>
      <c r="AX151" s="202"/>
      <c r="AY151" s="202"/>
      <c r="AZ151" s="202"/>
      <c r="BA151" s="202"/>
      <c r="BB151" s="202"/>
      <c r="BC151" s="202"/>
      <c r="BD151" s="202"/>
      <c r="BE151" s="202" t="s">
        <v>181</v>
      </c>
      <c r="BF151" s="202"/>
      <c r="BG151" s="202"/>
      <c r="BH151" s="202"/>
      <c r="BI151" s="202"/>
      <c r="BJ151" s="202"/>
      <c r="BK151" s="202"/>
      <c r="BL151" s="202"/>
      <c r="BM151" s="202"/>
      <c r="BN151" s="202"/>
      <c r="BO151" s="202"/>
      <c r="BP151" s="202"/>
      <c r="BQ151" s="202"/>
      <c r="BR151" s="202"/>
      <c r="BS151" s="202"/>
      <c r="BT151" s="202"/>
      <c r="BU151" s="202"/>
      <c r="BV151" s="202"/>
      <c r="BW151" s="202" t="s">
        <v>200</v>
      </c>
      <c r="BX151" s="202"/>
      <c r="BY151" s="202"/>
      <c r="BZ151" s="202"/>
      <c r="CA151" s="202"/>
      <c r="CB151" s="202"/>
      <c r="CC151" s="202"/>
      <c r="CD151" s="202"/>
      <c r="CE151" s="202"/>
      <c r="CF151" s="202"/>
      <c r="CG151" s="202"/>
      <c r="CH151" s="202"/>
      <c r="CI151" s="202"/>
      <c r="CJ151" s="202"/>
      <c r="CK151" s="202"/>
      <c r="CL151" s="202"/>
      <c r="CM151" s="202"/>
      <c r="CN151" s="202"/>
      <c r="CO151" s="202"/>
      <c r="EJ151" s="13"/>
    </row>
    <row r="152" spans="1:140" s="1" customFormat="1" ht="13" customHeight="1" x14ac:dyDescent="0.35">
      <c r="A152" s="137" t="s">
        <v>169</v>
      </c>
      <c r="B152" s="137"/>
      <c r="C152" s="137"/>
      <c r="D152" s="137"/>
      <c r="E152" s="137"/>
      <c r="F152" s="137"/>
      <c r="G152" s="137"/>
      <c r="H152" s="137"/>
      <c r="I152" s="137"/>
      <c r="J152" s="137"/>
      <c r="K152" s="137"/>
      <c r="L152" s="137"/>
      <c r="M152" s="137"/>
      <c r="N152" s="137"/>
      <c r="O152" s="200"/>
      <c r="P152" s="200"/>
      <c r="Q152" s="200"/>
      <c r="R152" s="200"/>
      <c r="S152" s="200"/>
      <c r="T152" s="200"/>
      <c r="U152" s="200"/>
      <c r="V152" s="200"/>
      <c r="W152" s="200"/>
      <c r="X152" s="200"/>
      <c r="Y152" s="200"/>
      <c r="Z152" s="200"/>
      <c r="AA152" s="200"/>
      <c r="AB152" s="200"/>
      <c r="AC152" s="200"/>
      <c r="AD152" s="200"/>
      <c r="AE152" s="200"/>
      <c r="AF152" s="200"/>
      <c r="AG152" s="200"/>
      <c r="AH152" s="200"/>
      <c r="AI152" s="200"/>
      <c r="AJ152" s="200"/>
      <c r="AK152" s="200"/>
      <c r="AL152" s="200"/>
      <c r="AM152" s="200"/>
      <c r="AN152" s="200"/>
      <c r="AO152" s="200"/>
      <c r="AP152" s="200"/>
      <c r="AQ152" s="200"/>
      <c r="AR152" s="200"/>
      <c r="AS152" s="200"/>
      <c r="AT152" s="200"/>
      <c r="AU152" s="200"/>
      <c r="AV152" s="200"/>
      <c r="AW152" s="200"/>
      <c r="AX152" s="200"/>
      <c r="AY152" s="200"/>
      <c r="AZ152" s="200"/>
      <c r="BA152" s="200"/>
      <c r="BB152" s="200"/>
      <c r="BC152" s="200"/>
      <c r="BD152" s="200"/>
      <c r="BE152" s="200"/>
      <c r="BF152" s="200"/>
      <c r="BG152" s="200"/>
      <c r="BH152" s="200"/>
      <c r="BI152" s="200"/>
      <c r="BJ152" s="200"/>
      <c r="BK152" s="200"/>
      <c r="BL152" s="200"/>
      <c r="BM152" s="200"/>
      <c r="BN152" s="200"/>
      <c r="BO152" s="200"/>
      <c r="BP152" s="200"/>
      <c r="BQ152" s="200"/>
      <c r="BR152" s="200"/>
      <c r="BS152" s="200"/>
      <c r="BT152" s="200"/>
      <c r="BU152" s="200"/>
      <c r="BV152" s="200"/>
      <c r="BW152" s="200"/>
      <c r="BX152" s="200"/>
      <c r="BY152" s="200"/>
      <c r="BZ152" s="200"/>
      <c r="CA152" s="200"/>
      <c r="CB152" s="200"/>
      <c r="CC152" s="200"/>
      <c r="CD152" s="200"/>
      <c r="CE152" s="200"/>
      <c r="CF152" s="200"/>
      <c r="CG152" s="200"/>
      <c r="CH152" s="200"/>
      <c r="CI152" s="200"/>
      <c r="CJ152" s="200"/>
      <c r="CK152" s="200"/>
      <c r="CL152" s="200"/>
      <c r="CM152" s="200"/>
      <c r="CN152" s="200"/>
      <c r="CO152" s="200"/>
      <c r="EJ152" s="13"/>
    </row>
    <row r="153" spans="1:140" s="1" customFormat="1" ht="13" customHeight="1" x14ac:dyDescent="0.35">
      <c r="A153" s="137" t="s">
        <v>170</v>
      </c>
      <c r="B153" s="137"/>
      <c r="C153" s="137"/>
      <c r="D153" s="137"/>
      <c r="E153" s="137"/>
      <c r="F153" s="137"/>
      <c r="G153" s="137"/>
      <c r="H153" s="137"/>
      <c r="I153" s="137"/>
      <c r="J153" s="137"/>
      <c r="K153" s="137"/>
      <c r="L153" s="137"/>
      <c r="M153" s="137"/>
      <c r="N153" s="137"/>
      <c r="O153" s="201" t="s">
        <v>175</v>
      </c>
      <c r="P153" s="201"/>
      <c r="Q153" s="201"/>
      <c r="R153" s="201"/>
      <c r="S153" s="201"/>
      <c r="T153" s="201"/>
      <c r="U153" s="201"/>
      <c r="V153" s="201" t="s">
        <v>177</v>
      </c>
      <c r="W153" s="201"/>
      <c r="X153" s="201"/>
      <c r="Y153" s="201"/>
      <c r="Z153" s="201"/>
      <c r="AA153" s="201"/>
      <c r="AB153" s="201"/>
      <c r="AC153" s="201" t="s">
        <v>178</v>
      </c>
      <c r="AD153" s="201"/>
      <c r="AE153" s="201"/>
      <c r="AF153" s="201"/>
      <c r="AG153" s="201"/>
      <c r="AH153" s="201"/>
      <c r="AI153" s="201"/>
      <c r="AJ153" s="201" t="s">
        <v>175</v>
      </c>
      <c r="AK153" s="201"/>
      <c r="AL153" s="201"/>
      <c r="AM153" s="201"/>
      <c r="AN153" s="201"/>
      <c r="AO153" s="201"/>
      <c r="AP153" s="201"/>
      <c r="AQ153" s="203" t="s">
        <v>179</v>
      </c>
      <c r="AR153" s="203"/>
      <c r="AS153" s="203"/>
      <c r="AT153" s="203"/>
      <c r="AU153" s="203"/>
      <c r="AV153" s="203"/>
      <c r="AW153" s="203"/>
      <c r="AX153" s="201" t="s">
        <v>178</v>
      </c>
      <c r="AY153" s="201"/>
      <c r="AZ153" s="201"/>
      <c r="BA153" s="201"/>
      <c r="BB153" s="201"/>
      <c r="BC153" s="201"/>
      <c r="BD153" s="201"/>
      <c r="BE153" s="201" t="s">
        <v>176</v>
      </c>
      <c r="BF153" s="201"/>
      <c r="BG153" s="201"/>
      <c r="BH153" s="201"/>
      <c r="BI153" s="201"/>
      <c r="BJ153" s="201"/>
      <c r="BK153" s="201" t="s">
        <v>179</v>
      </c>
      <c r="BL153" s="201"/>
      <c r="BM153" s="201"/>
      <c r="BN153" s="201"/>
      <c r="BO153" s="201"/>
      <c r="BP153" s="201"/>
      <c r="BQ153" s="201" t="s">
        <v>180</v>
      </c>
      <c r="BR153" s="201"/>
      <c r="BS153" s="201"/>
      <c r="BT153" s="201"/>
      <c r="BU153" s="201"/>
      <c r="BV153" s="201"/>
      <c r="BW153" s="201" t="s">
        <v>176</v>
      </c>
      <c r="BX153" s="201"/>
      <c r="BY153" s="201"/>
      <c r="BZ153" s="201"/>
      <c r="CA153" s="201"/>
      <c r="CB153" s="201"/>
      <c r="CC153" s="201" t="s">
        <v>179</v>
      </c>
      <c r="CD153" s="201"/>
      <c r="CE153" s="201"/>
      <c r="CF153" s="201"/>
      <c r="CG153" s="201"/>
      <c r="CH153" s="201"/>
      <c r="CI153" s="201" t="s">
        <v>178</v>
      </c>
      <c r="CJ153" s="201"/>
      <c r="CK153" s="201"/>
      <c r="CL153" s="201"/>
      <c r="CM153" s="201"/>
      <c r="CN153" s="201"/>
      <c r="CO153" s="201"/>
      <c r="EJ153" s="13"/>
    </row>
    <row r="154" spans="1:140" s="1" customFormat="1" ht="13" customHeight="1" x14ac:dyDescent="0.35">
      <c r="A154" s="137" t="s">
        <v>105</v>
      </c>
      <c r="B154" s="137"/>
      <c r="C154" s="137"/>
      <c r="D154" s="137"/>
      <c r="E154" s="137"/>
      <c r="F154" s="137"/>
      <c r="G154" s="137"/>
      <c r="H154" s="137"/>
      <c r="I154" s="137"/>
      <c r="J154" s="137"/>
      <c r="K154" s="137"/>
      <c r="L154" s="137"/>
      <c r="M154" s="137"/>
      <c r="N154" s="137"/>
      <c r="O154" s="195"/>
      <c r="P154" s="195"/>
      <c r="Q154" s="195"/>
      <c r="R154" s="195"/>
      <c r="S154" s="195"/>
      <c r="T154" s="195"/>
      <c r="U154" s="195"/>
      <c r="V154" s="195"/>
      <c r="W154" s="195"/>
      <c r="X154" s="195"/>
      <c r="Y154" s="195"/>
      <c r="Z154" s="195"/>
      <c r="AA154" s="195"/>
      <c r="AB154" s="195"/>
      <c r="AC154" s="195"/>
      <c r="AD154" s="195"/>
      <c r="AE154" s="195"/>
      <c r="AF154" s="195"/>
      <c r="AG154" s="195"/>
      <c r="AH154" s="195"/>
      <c r="AI154" s="195"/>
      <c r="AJ154" s="195"/>
      <c r="AK154" s="195"/>
      <c r="AL154" s="195"/>
      <c r="AM154" s="195"/>
      <c r="AN154" s="195"/>
      <c r="AO154" s="195"/>
      <c r="AP154" s="195"/>
      <c r="AQ154" s="195"/>
      <c r="AR154" s="195"/>
      <c r="AS154" s="195"/>
      <c r="AT154" s="195"/>
      <c r="AU154" s="195"/>
      <c r="AV154" s="195"/>
      <c r="AW154" s="195"/>
      <c r="AX154" s="195"/>
      <c r="AY154" s="195"/>
      <c r="AZ154" s="195"/>
      <c r="BA154" s="195"/>
      <c r="BB154" s="195"/>
      <c r="BC154" s="195"/>
      <c r="BD154" s="195"/>
      <c r="BE154" s="195"/>
      <c r="BF154" s="195"/>
      <c r="BG154" s="195"/>
      <c r="BH154" s="195"/>
      <c r="BI154" s="195"/>
      <c r="BJ154" s="195"/>
      <c r="BK154" s="195"/>
      <c r="BL154" s="195"/>
      <c r="BM154" s="195"/>
      <c r="BN154" s="195"/>
      <c r="BO154" s="195"/>
      <c r="BP154" s="195"/>
      <c r="BQ154" s="195"/>
      <c r="BR154" s="195"/>
      <c r="BS154" s="195"/>
      <c r="BT154" s="195"/>
      <c r="BU154" s="195"/>
      <c r="BV154" s="195"/>
      <c r="BW154" s="195"/>
      <c r="BX154" s="195"/>
      <c r="BY154" s="195"/>
      <c r="BZ154" s="195"/>
      <c r="CA154" s="195"/>
      <c r="CB154" s="195"/>
      <c r="CC154" s="195"/>
      <c r="CD154" s="195"/>
      <c r="CE154" s="195"/>
      <c r="CF154" s="195"/>
      <c r="CG154" s="195"/>
      <c r="CH154" s="195"/>
      <c r="CI154" s="195"/>
      <c r="CJ154" s="195"/>
      <c r="CK154" s="195"/>
      <c r="CL154" s="195"/>
      <c r="CM154" s="195"/>
      <c r="CN154" s="195"/>
      <c r="CO154" s="195"/>
      <c r="EJ154" s="13"/>
    </row>
    <row r="155" spans="1:140" s="1" customFormat="1" ht="13" customHeight="1" x14ac:dyDescent="0.35">
      <c r="A155" s="137" t="s">
        <v>171</v>
      </c>
      <c r="B155" s="137"/>
      <c r="C155" s="137"/>
      <c r="D155" s="137"/>
      <c r="E155" s="137"/>
      <c r="F155" s="137"/>
      <c r="G155" s="137"/>
      <c r="H155" s="137"/>
      <c r="I155" s="137"/>
      <c r="J155" s="137"/>
      <c r="K155" s="137"/>
      <c r="L155" s="137"/>
      <c r="M155" s="137"/>
      <c r="N155" s="137"/>
      <c r="O155" s="193"/>
      <c r="P155" s="193"/>
      <c r="Q155" s="193"/>
      <c r="R155" s="193"/>
      <c r="S155" s="193"/>
      <c r="T155" s="193"/>
      <c r="U155" s="193"/>
      <c r="V155" s="193"/>
      <c r="W155" s="193"/>
      <c r="X155" s="193"/>
      <c r="Y155" s="193"/>
      <c r="Z155" s="193"/>
      <c r="AA155" s="193"/>
      <c r="AB155" s="193"/>
      <c r="AC155" s="193"/>
      <c r="AD155" s="193"/>
      <c r="AE155" s="193"/>
      <c r="AF155" s="193"/>
      <c r="AG155" s="193"/>
      <c r="AH155" s="193"/>
      <c r="AI155" s="193"/>
      <c r="AJ155" s="193"/>
      <c r="AK155" s="193"/>
      <c r="AL155" s="193"/>
      <c r="AM155" s="193"/>
      <c r="AN155" s="193"/>
      <c r="AO155" s="193"/>
      <c r="AP155" s="193"/>
      <c r="AQ155" s="193"/>
      <c r="AR155" s="193"/>
      <c r="AS155" s="193"/>
      <c r="AT155" s="193"/>
      <c r="AU155" s="193"/>
      <c r="AV155" s="193"/>
      <c r="AW155" s="193"/>
      <c r="AX155" s="193"/>
      <c r="AY155" s="193"/>
      <c r="AZ155" s="193"/>
      <c r="BA155" s="193"/>
      <c r="BB155" s="193"/>
      <c r="BC155" s="193"/>
      <c r="BD155" s="193"/>
      <c r="BE155" s="193"/>
      <c r="BF155" s="193"/>
      <c r="BG155" s="193"/>
      <c r="BH155" s="193"/>
      <c r="BI155" s="193"/>
      <c r="BJ155" s="193"/>
      <c r="BK155" s="193"/>
      <c r="BL155" s="193"/>
      <c r="BM155" s="193"/>
      <c r="BN155" s="193"/>
      <c r="BO155" s="193"/>
      <c r="BP155" s="193"/>
      <c r="BQ155" s="193"/>
      <c r="BR155" s="193"/>
      <c r="BS155" s="193"/>
      <c r="BT155" s="193"/>
      <c r="BU155" s="193"/>
      <c r="BV155" s="193"/>
      <c r="BW155" s="193"/>
      <c r="BX155" s="193"/>
      <c r="BY155" s="193"/>
      <c r="BZ155" s="193"/>
      <c r="CA155" s="193"/>
      <c r="CB155" s="193"/>
      <c r="CC155" s="193"/>
      <c r="CD155" s="193"/>
      <c r="CE155" s="193"/>
      <c r="CF155" s="193"/>
      <c r="CG155" s="193"/>
      <c r="CH155" s="193"/>
      <c r="CI155" s="193"/>
      <c r="CJ155" s="193"/>
      <c r="CK155" s="193"/>
      <c r="CL155" s="193"/>
      <c r="CM155" s="193"/>
      <c r="CN155" s="193"/>
      <c r="CO155" s="193"/>
      <c r="EJ155" s="13"/>
    </row>
    <row r="156" spans="1:140" s="1" customFormat="1" ht="13" customHeight="1" x14ac:dyDescent="0.35">
      <c r="A156" s="137" t="s">
        <v>172</v>
      </c>
      <c r="B156" s="137"/>
      <c r="C156" s="137"/>
      <c r="D156" s="137"/>
      <c r="E156" s="137"/>
      <c r="F156" s="137"/>
      <c r="G156" s="137"/>
      <c r="H156" s="137"/>
      <c r="I156" s="137"/>
      <c r="J156" s="137"/>
      <c r="K156" s="137"/>
      <c r="L156" s="137"/>
      <c r="M156" s="137"/>
      <c r="N156" s="137"/>
      <c r="O156" s="193"/>
      <c r="P156" s="193"/>
      <c r="Q156" s="193"/>
      <c r="R156" s="193"/>
      <c r="S156" s="193"/>
      <c r="T156" s="193"/>
      <c r="U156" s="193"/>
      <c r="V156" s="193"/>
      <c r="W156" s="193"/>
      <c r="X156" s="193"/>
      <c r="Y156" s="193"/>
      <c r="Z156" s="193"/>
      <c r="AA156" s="193"/>
      <c r="AB156" s="193"/>
      <c r="AC156" s="193"/>
      <c r="AD156" s="193"/>
      <c r="AE156" s="193"/>
      <c r="AF156" s="193"/>
      <c r="AG156" s="193"/>
      <c r="AH156" s="193"/>
      <c r="AI156" s="193"/>
      <c r="AJ156" s="193"/>
      <c r="AK156" s="193"/>
      <c r="AL156" s="193"/>
      <c r="AM156" s="193"/>
      <c r="AN156" s="193"/>
      <c r="AO156" s="193"/>
      <c r="AP156" s="193"/>
      <c r="AQ156" s="193"/>
      <c r="AR156" s="193"/>
      <c r="AS156" s="193"/>
      <c r="AT156" s="193"/>
      <c r="AU156" s="193"/>
      <c r="AV156" s="193"/>
      <c r="AW156" s="193"/>
      <c r="AX156" s="193"/>
      <c r="AY156" s="193"/>
      <c r="AZ156" s="193"/>
      <c r="BA156" s="193"/>
      <c r="BB156" s="193"/>
      <c r="BC156" s="193"/>
      <c r="BD156" s="193"/>
      <c r="BE156" s="193"/>
      <c r="BF156" s="193"/>
      <c r="BG156" s="193"/>
      <c r="BH156" s="193"/>
      <c r="BI156" s="193"/>
      <c r="BJ156" s="193"/>
      <c r="BK156" s="193"/>
      <c r="BL156" s="193"/>
      <c r="BM156" s="193"/>
      <c r="BN156" s="193"/>
      <c r="BO156" s="193"/>
      <c r="BP156" s="193"/>
      <c r="BQ156" s="193"/>
      <c r="BR156" s="193"/>
      <c r="BS156" s="193"/>
      <c r="BT156" s="193"/>
      <c r="BU156" s="193"/>
      <c r="BV156" s="193"/>
      <c r="BW156" s="193"/>
      <c r="BX156" s="193"/>
      <c r="BY156" s="193"/>
      <c r="BZ156" s="193"/>
      <c r="CA156" s="193"/>
      <c r="CB156" s="193"/>
      <c r="CC156" s="193"/>
      <c r="CD156" s="193"/>
      <c r="CE156" s="193"/>
      <c r="CF156" s="193"/>
      <c r="CG156" s="193"/>
      <c r="CH156" s="193"/>
      <c r="CI156" s="193"/>
      <c r="CJ156" s="193"/>
      <c r="CK156" s="193"/>
      <c r="CL156" s="193"/>
      <c r="CM156" s="193"/>
      <c r="CN156" s="193"/>
      <c r="CO156" s="193"/>
      <c r="EJ156" s="13"/>
    </row>
    <row r="157" spans="1:140" s="1" customFormat="1" ht="10" customHeight="1" x14ac:dyDescent="0.35">
      <c r="A157" s="137" t="s">
        <v>198</v>
      </c>
      <c r="B157" s="137"/>
      <c r="C157" s="137"/>
      <c r="D157" s="137"/>
      <c r="E157" s="137"/>
      <c r="F157" s="137"/>
      <c r="G157" s="137"/>
      <c r="H157" s="137"/>
      <c r="I157" s="137"/>
      <c r="J157" s="137"/>
      <c r="K157" s="137"/>
      <c r="L157" s="137"/>
      <c r="M157" s="137"/>
      <c r="N157" s="137"/>
      <c r="O157" s="201" t="s">
        <v>214</v>
      </c>
      <c r="P157" s="201"/>
      <c r="Q157" s="201"/>
      <c r="R157" s="201"/>
      <c r="S157" s="201"/>
      <c r="T157" s="201"/>
      <c r="U157" s="201"/>
      <c r="V157" s="201"/>
      <c r="W157" s="201"/>
      <c r="X157" s="201"/>
      <c r="Y157" s="201"/>
      <c r="Z157" s="201"/>
      <c r="AA157" s="201"/>
      <c r="AB157" s="201"/>
      <c r="AC157" s="201"/>
      <c r="AD157" s="201"/>
      <c r="AE157" s="201"/>
      <c r="AF157" s="201"/>
      <c r="AG157" s="201"/>
      <c r="AH157" s="201"/>
      <c r="AI157" s="201"/>
      <c r="AJ157" s="201"/>
      <c r="AK157" s="201"/>
      <c r="AL157" s="201"/>
      <c r="AM157" s="201"/>
      <c r="AN157" s="201"/>
      <c r="AO157" s="201"/>
      <c r="AP157" s="201"/>
      <c r="AQ157" s="201"/>
      <c r="AR157" s="201"/>
      <c r="AS157" s="201"/>
      <c r="AT157" s="201"/>
      <c r="AU157" s="201"/>
      <c r="AV157" s="201"/>
      <c r="AW157" s="201"/>
      <c r="AX157" s="201"/>
      <c r="AY157" s="201"/>
      <c r="AZ157" s="201"/>
      <c r="BA157" s="201"/>
      <c r="BB157" s="201"/>
      <c r="BC157" s="201"/>
      <c r="BD157" s="201"/>
      <c r="BE157" s="201"/>
      <c r="BF157" s="201"/>
      <c r="BG157" s="201"/>
      <c r="BH157" s="201"/>
      <c r="BI157" s="201"/>
      <c r="BJ157" s="201"/>
      <c r="BK157" s="201"/>
      <c r="BL157" s="201"/>
      <c r="BM157" s="201"/>
      <c r="BN157" s="201"/>
      <c r="BO157" s="201"/>
      <c r="BP157" s="201"/>
      <c r="BQ157" s="201"/>
      <c r="BR157" s="201"/>
      <c r="BS157" s="201"/>
      <c r="BT157" s="201"/>
      <c r="BU157" s="201"/>
      <c r="BV157" s="201"/>
      <c r="BW157" s="201"/>
      <c r="BX157" s="201"/>
      <c r="BY157" s="201"/>
      <c r="BZ157" s="201"/>
      <c r="CA157" s="201"/>
      <c r="CB157" s="201"/>
      <c r="CC157" s="201"/>
      <c r="CD157" s="201"/>
      <c r="CE157" s="201"/>
      <c r="CF157" s="201"/>
      <c r="CG157" s="201"/>
      <c r="CH157" s="201"/>
      <c r="CI157" s="201"/>
      <c r="CJ157" s="201"/>
      <c r="CK157" s="201"/>
      <c r="CL157" s="201"/>
      <c r="CM157" s="201"/>
      <c r="CN157" s="201"/>
      <c r="CO157" s="201"/>
      <c r="EJ157" s="13"/>
    </row>
    <row r="158" spans="1:140" s="1" customFormat="1" ht="10" customHeight="1" x14ac:dyDescent="0.35">
      <c r="A158" s="137" t="s">
        <v>199</v>
      </c>
      <c r="B158" s="137"/>
      <c r="C158" s="137"/>
      <c r="D158" s="137"/>
      <c r="E158" s="137"/>
      <c r="F158" s="137"/>
      <c r="G158" s="137"/>
      <c r="H158" s="137"/>
      <c r="I158" s="137"/>
      <c r="J158" s="137"/>
      <c r="K158" s="137"/>
      <c r="L158" s="137"/>
      <c r="M158" s="137"/>
      <c r="N158" s="137"/>
      <c r="O158" s="201"/>
      <c r="P158" s="201"/>
      <c r="Q158" s="201"/>
      <c r="R158" s="201"/>
      <c r="S158" s="201"/>
      <c r="T158" s="201"/>
      <c r="U158" s="201"/>
      <c r="V158" s="201"/>
      <c r="W158" s="201"/>
      <c r="X158" s="201"/>
      <c r="Y158" s="201"/>
      <c r="Z158" s="201"/>
      <c r="AA158" s="201"/>
      <c r="AB158" s="201"/>
      <c r="AC158" s="201"/>
      <c r="AD158" s="201"/>
      <c r="AE158" s="201"/>
      <c r="AF158" s="201"/>
      <c r="AG158" s="201"/>
      <c r="AH158" s="201"/>
      <c r="AI158" s="201"/>
      <c r="AJ158" s="201"/>
      <c r="AK158" s="201"/>
      <c r="AL158" s="201"/>
      <c r="AM158" s="201"/>
      <c r="AN158" s="201"/>
      <c r="AO158" s="201"/>
      <c r="AP158" s="201"/>
      <c r="AQ158" s="201"/>
      <c r="AR158" s="201"/>
      <c r="AS158" s="201"/>
      <c r="AT158" s="201"/>
      <c r="AU158" s="201"/>
      <c r="AV158" s="201"/>
      <c r="AW158" s="201"/>
      <c r="AX158" s="201"/>
      <c r="AY158" s="201"/>
      <c r="AZ158" s="201"/>
      <c r="BA158" s="201"/>
      <c r="BB158" s="201"/>
      <c r="BC158" s="201"/>
      <c r="BD158" s="201"/>
      <c r="BE158" s="201"/>
      <c r="BF158" s="201"/>
      <c r="BG158" s="201"/>
      <c r="BH158" s="201"/>
      <c r="BI158" s="201"/>
      <c r="BJ158" s="201"/>
      <c r="BK158" s="201"/>
      <c r="BL158" s="201"/>
      <c r="BM158" s="201"/>
      <c r="BN158" s="201"/>
      <c r="BO158" s="201"/>
      <c r="BP158" s="201"/>
      <c r="BQ158" s="201"/>
      <c r="BR158" s="201"/>
      <c r="BS158" s="201"/>
      <c r="BT158" s="201"/>
      <c r="BU158" s="201"/>
      <c r="BV158" s="201"/>
      <c r="BW158" s="201"/>
      <c r="BX158" s="201"/>
      <c r="BY158" s="201"/>
      <c r="BZ158" s="201"/>
      <c r="CA158" s="201"/>
      <c r="CB158" s="201"/>
      <c r="CC158" s="201"/>
      <c r="CD158" s="201"/>
      <c r="CE158" s="201"/>
      <c r="CF158" s="201"/>
      <c r="CG158" s="201"/>
      <c r="CH158" s="201"/>
      <c r="CI158" s="201"/>
      <c r="CJ158" s="201"/>
      <c r="CK158" s="201"/>
      <c r="CL158" s="201"/>
      <c r="CM158" s="201"/>
      <c r="CN158" s="201"/>
      <c r="CO158" s="201"/>
      <c r="EJ158" s="13"/>
    </row>
    <row r="159" spans="1:140" s="1" customFormat="1" ht="17.149999999999999" customHeight="1" x14ac:dyDescent="0.35">
      <c r="A159" s="191" t="s">
        <v>218</v>
      </c>
      <c r="B159" s="191"/>
      <c r="C159" s="191"/>
      <c r="D159" s="191"/>
      <c r="E159" s="191"/>
      <c r="F159" s="191"/>
      <c r="G159" s="191"/>
      <c r="H159" s="191"/>
      <c r="I159" s="191"/>
      <c r="J159" s="191"/>
      <c r="K159" s="191"/>
      <c r="L159" s="191"/>
      <c r="M159" s="191"/>
      <c r="N159" s="191"/>
      <c r="O159" s="192"/>
      <c r="P159" s="192"/>
      <c r="Q159" s="192"/>
      <c r="R159" s="192"/>
      <c r="S159" s="192"/>
      <c r="T159" s="192"/>
      <c r="U159" s="192"/>
      <c r="V159" s="192"/>
      <c r="W159" s="192"/>
      <c r="X159" s="192"/>
      <c r="Y159" s="192"/>
      <c r="Z159" s="192"/>
      <c r="AA159" s="192"/>
      <c r="AB159" s="192"/>
      <c r="AC159" s="192"/>
      <c r="AD159" s="192"/>
      <c r="AE159" s="192"/>
      <c r="AF159" s="192"/>
      <c r="AG159" s="192"/>
      <c r="AH159" s="192"/>
      <c r="AI159" s="192"/>
      <c r="AJ159" s="192"/>
      <c r="AK159" s="192"/>
      <c r="AL159" s="192"/>
      <c r="AM159" s="192"/>
      <c r="AN159" s="192"/>
      <c r="AO159" s="192"/>
      <c r="AP159" s="192"/>
      <c r="AQ159" s="192"/>
      <c r="AR159" s="192"/>
      <c r="AS159" s="192"/>
      <c r="AT159" s="192"/>
      <c r="AU159" s="192"/>
      <c r="AV159" s="192"/>
      <c r="AW159" s="192"/>
      <c r="AX159" s="192"/>
      <c r="AY159" s="192"/>
      <c r="AZ159" s="192"/>
      <c r="BA159" s="192"/>
      <c r="BB159" s="192"/>
      <c r="BC159" s="192"/>
      <c r="BD159" s="192"/>
      <c r="BE159" s="192" t="s">
        <v>207</v>
      </c>
      <c r="BF159" s="192"/>
      <c r="BG159" s="192"/>
      <c r="BH159" s="192"/>
      <c r="BI159" s="192"/>
      <c r="BJ159" s="192"/>
      <c r="BK159" s="192"/>
      <c r="BL159" s="192"/>
      <c r="BM159" s="192"/>
      <c r="BN159" s="192"/>
      <c r="BO159" s="192"/>
      <c r="BP159" s="192"/>
      <c r="BQ159" s="192"/>
      <c r="BR159" s="192"/>
      <c r="BS159" s="192"/>
      <c r="BT159" s="192"/>
      <c r="BU159" s="192"/>
      <c r="BV159" s="192"/>
      <c r="BW159" s="192"/>
      <c r="BX159" s="192"/>
      <c r="BY159" s="192"/>
      <c r="BZ159" s="192"/>
      <c r="CA159" s="192"/>
      <c r="CB159" s="192"/>
      <c r="CC159" s="192"/>
      <c r="CD159" s="192"/>
      <c r="CE159" s="192"/>
      <c r="CF159" s="192"/>
      <c r="CG159" s="192"/>
      <c r="CH159" s="192"/>
      <c r="CI159" s="192"/>
      <c r="CJ159" s="192"/>
      <c r="CK159" s="192"/>
      <c r="CL159" s="192"/>
      <c r="CM159" s="192"/>
      <c r="CN159" s="192"/>
      <c r="CO159" s="192"/>
      <c r="EJ159" s="13"/>
    </row>
    <row r="160" spans="1:140" s="1" customFormat="1" ht="10" customHeight="1" x14ac:dyDescent="0.3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c r="CM160" s="13"/>
      <c r="CN160" s="13"/>
      <c r="CO160" s="13"/>
      <c r="EJ160" s="13"/>
    </row>
    <row r="161" spans="1:140" s="1" customFormat="1" ht="13" hidden="1" customHeight="1" x14ac:dyDescent="0.35">
      <c r="A161" s="74" t="s">
        <v>204</v>
      </c>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c r="AM161" s="74"/>
      <c r="AN161" s="74"/>
      <c r="AO161" s="74"/>
      <c r="AP161" s="74"/>
      <c r="AQ161" s="74"/>
      <c r="AR161" s="74"/>
      <c r="AS161" s="74"/>
      <c r="AT161" s="74"/>
      <c r="AU161" s="74"/>
      <c r="AV161" s="74"/>
      <c r="AW161" s="74"/>
      <c r="AX161" s="74"/>
      <c r="AY161" s="74"/>
      <c r="AZ161" s="74"/>
      <c r="BA161" s="74"/>
      <c r="BB161" s="74"/>
      <c r="BC161" s="74"/>
      <c r="BD161" s="74"/>
      <c r="BE161" s="74"/>
      <c r="BF161" s="74"/>
      <c r="BG161" s="74"/>
      <c r="BH161" s="74"/>
      <c r="BI161" s="74"/>
      <c r="BJ161" s="74"/>
      <c r="BK161" s="74"/>
      <c r="BL161" s="74"/>
      <c r="BM161" s="74"/>
      <c r="BN161" s="74"/>
      <c r="BO161" s="74"/>
      <c r="BP161" s="74"/>
      <c r="BQ161" s="74"/>
      <c r="BR161" s="74"/>
      <c r="BS161" s="74"/>
      <c r="BT161" s="74"/>
      <c r="BU161" s="74"/>
      <c r="BV161" s="74"/>
      <c r="BW161" s="74"/>
      <c r="BX161" s="74"/>
      <c r="BY161" s="74"/>
      <c r="BZ161" s="74"/>
      <c r="CA161" s="74"/>
      <c r="CB161" s="74"/>
      <c r="CC161" s="74"/>
      <c r="CD161" s="74"/>
      <c r="CE161" s="74"/>
      <c r="CF161" s="74"/>
      <c r="CG161" s="74"/>
      <c r="CH161" s="74"/>
      <c r="CI161" s="74"/>
      <c r="CJ161" s="74"/>
      <c r="CK161" s="74"/>
      <c r="CL161" s="74"/>
      <c r="CM161" s="74"/>
      <c r="CN161" s="74"/>
      <c r="CO161" s="74"/>
      <c r="EJ161" s="13"/>
    </row>
    <row r="162" spans="1:140" s="1" customFormat="1" ht="13" hidden="1" customHeight="1" x14ac:dyDescent="0.35">
      <c r="A162" s="137" t="s">
        <v>52</v>
      </c>
      <c r="B162" s="137"/>
      <c r="C162" s="137"/>
      <c r="D162" s="137"/>
      <c r="E162" s="137"/>
      <c r="F162" s="137"/>
      <c r="G162" s="137"/>
      <c r="H162" s="137"/>
      <c r="I162" s="137"/>
      <c r="J162" s="137"/>
      <c r="K162" s="137"/>
      <c r="L162" s="137"/>
      <c r="M162" s="137"/>
      <c r="N162" s="137"/>
      <c r="O162" s="202" t="s">
        <v>181</v>
      </c>
      <c r="P162" s="202"/>
      <c r="Q162" s="202"/>
      <c r="R162" s="202"/>
      <c r="S162" s="202"/>
      <c r="T162" s="202"/>
      <c r="U162" s="202"/>
      <c r="V162" s="202"/>
      <c r="W162" s="202"/>
      <c r="X162" s="202"/>
      <c r="Y162" s="202"/>
      <c r="Z162" s="202"/>
      <c r="AA162" s="202"/>
      <c r="AB162" s="202"/>
      <c r="AC162" s="202"/>
      <c r="AD162" s="202"/>
      <c r="AE162" s="202"/>
      <c r="AF162" s="202"/>
      <c r="AG162" s="202"/>
      <c r="AH162" s="202"/>
      <c r="AI162" s="202"/>
      <c r="AJ162" s="202" t="s">
        <v>182</v>
      </c>
      <c r="AK162" s="202"/>
      <c r="AL162" s="202"/>
      <c r="AM162" s="202"/>
      <c r="AN162" s="202"/>
      <c r="AO162" s="202"/>
      <c r="AP162" s="202"/>
      <c r="AQ162" s="202"/>
      <c r="AR162" s="202"/>
      <c r="AS162" s="202"/>
      <c r="AT162" s="202"/>
      <c r="AU162" s="202"/>
      <c r="AV162" s="202"/>
      <c r="AW162" s="202"/>
      <c r="AX162" s="202"/>
      <c r="AY162" s="202"/>
      <c r="AZ162" s="202"/>
      <c r="BA162" s="202"/>
      <c r="BB162" s="202"/>
      <c r="BC162" s="202"/>
      <c r="BD162" s="202"/>
      <c r="BE162" s="202" t="s">
        <v>181</v>
      </c>
      <c r="BF162" s="202"/>
      <c r="BG162" s="202"/>
      <c r="BH162" s="202"/>
      <c r="BI162" s="202"/>
      <c r="BJ162" s="202"/>
      <c r="BK162" s="202"/>
      <c r="BL162" s="202"/>
      <c r="BM162" s="202"/>
      <c r="BN162" s="202"/>
      <c r="BO162" s="202"/>
      <c r="BP162" s="202"/>
      <c r="BQ162" s="202"/>
      <c r="BR162" s="202"/>
      <c r="BS162" s="202"/>
      <c r="BT162" s="202"/>
      <c r="BU162" s="202"/>
      <c r="BV162" s="202"/>
      <c r="BW162" s="202" t="s">
        <v>201</v>
      </c>
      <c r="BX162" s="202"/>
      <c r="BY162" s="202"/>
      <c r="BZ162" s="202"/>
      <c r="CA162" s="202"/>
      <c r="CB162" s="202"/>
      <c r="CC162" s="202"/>
      <c r="CD162" s="202"/>
      <c r="CE162" s="202"/>
      <c r="CF162" s="202"/>
      <c r="CG162" s="202"/>
      <c r="CH162" s="202"/>
      <c r="CI162" s="202"/>
      <c r="CJ162" s="202"/>
      <c r="CK162" s="202"/>
      <c r="CL162" s="202"/>
      <c r="CM162" s="202"/>
      <c r="CN162" s="202"/>
      <c r="CO162" s="202"/>
      <c r="EJ162" s="13"/>
    </row>
    <row r="163" spans="1:140" s="1" customFormat="1" ht="13" hidden="1" customHeight="1" x14ac:dyDescent="0.35">
      <c r="A163" s="137" t="s">
        <v>169</v>
      </c>
      <c r="B163" s="137"/>
      <c r="C163" s="137"/>
      <c r="D163" s="137"/>
      <c r="E163" s="137"/>
      <c r="F163" s="137"/>
      <c r="G163" s="137"/>
      <c r="H163" s="137"/>
      <c r="I163" s="137"/>
      <c r="J163" s="137"/>
      <c r="K163" s="137"/>
      <c r="L163" s="137"/>
      <c r="M163" s="137"/>
      <c r="N163" s="137"/>
      <c r="O163" s="200"/>
      <c r="P163" s="200"/>
      <c r="Q163" s="200"/>
      <c r="R163" s="200"/>
      <c r="S163" s="200"/>
      <c r="T163" s="200"/>
      <c r="U163" s="200"/>
      <c r="V163" s="200"/>
      <c r="W163" s="200"/>
      <c r="X163" s="200"/>
      <c r="Y163" s="200"/>
      <c r="Z163" s="200"/>
      <c r="AA163" s="200"/>
      <c r="AB163" s="200"/>
      <c r="AC163" s="200"/>
      <c r="AD163" s="200"/>
      <c r="AE163" s="200"/>
      <c r="AF163" s="200"/>
      <c r="AG163" s="200"/>
      <c r="AH163" s="200"/>
      <c r="AI163" s="200"/>
      <c r="AJ163" s="200"/>
      <c r="AK163" s="200"/>
      <c r="AL163" s="200"/>
      <c r="AM163" s="200"/>
      <c r="AN163" s="200"/>
      <c r="AO163" s="200"/>
      <c r="AP163" s="200"/>
      <c r="AQ163" s="200"/>
      <c r="AR163" s="200"/>
      <c r="AS163" s="200"/>
      <c r="AT163" s="200"/>
      <c r="AU163" s="200"/>
      <c r="AV163" s="200"/>
      <c r="AW163" s="200"/>
      <c r="AX163" s="200"/>
      <c r="AY163" s="200"/>
      <c r="AZ163" s="200"/>
      <c r="BA163" s="200"/>
      <c r="BB163" s="200"/>
      <c r="BC163" s="200"/>
      <c r="BD163" s="200"/>
      <c r="BE163" s="200"/>
      <c r="BF163" s="200"/>
      <c r="BG163" s="200"/>
      <c r="BH163" s="200"/>
      <c r="BI163" s="200"/>
      <c r="BJ163" s="200"/>
      <c r="BK163" s="200"/>
      <c r="BL163" s="200"/>
      <c r="BM163" s="200"/>
      <c r="BN163" s="200"/>
      <c r="BO163" s="200"/>
      <c r="BP163" s="200"/>
      <c r="BQ163" s="200"/>
      <c r="BR163" s="200"/>
      <c r="BS163" s="200"/>
      <c r="BT163" s="200"/>
      <c r="BU163" s="200"/>
      <c r="BV163" s="200"/>
      <c r="BW163" s="200"/>
      <c r="BX163" s="200"/>
      <c r="BY163" s="200"/>
      <c r="BZ163" s="200"/>
      <c r="CA163" s="200"/>
      <c r="CB163" s="200"/>
      <c r="CC163" s="200"/>
      <c r="CD163" s="200"/>
      <c r="CE163" s="200"/>
      <c r="CF163" s="200"/>
      <c r="CG163" s="200"/>
      <c r="CH163" s="200"/>
      <c r="CI163" s="200"/>
      <c r="CJ163" s="200"/>
      <c r="CK163" s="200"/>
      <c r="CL163" s="200"/>
      <c r="CM163" s="200"/>
      <c r="CN163" s="200"/>
      <c r="CO163" s="200"/>
      <c r="EJ163" s="13"/>
    </row>
    <row r="164" spans="1:140" s="1" customFormat="1" ht="13" hidden="1" customHeight="1" x14ac:dyDescent="0.35">
      <c r="A164" s="137" t="s">
        <v>170</v>
      </c>
      <c r="B164" s="137"/>
      <c r="C164" s="137"/>
      <c r="D164" s="137"/>
      <c r="E164" s="137"/>
      <c r="F164" s="137"/>
      <c r="G164" s="137"/>
      <c r="H164" s="137"/>
      <c r="I164" s="137"/>
      <c r="J164" s="137"/>
      <c r="K164" s="137"/>
      <c r="L164" s="137"/>
      <c r="M164" s="137"/>
      <c r="N164" s="137"/>
      <c r="O164" s="201" t="s">
        <v>175</v>
      </c>
      <c r="P164" s="201"/>
      <c r="Q164" s="201"/>
      <c r="R164" s="201"/>
      <c r="S164" s="201"/>
      <c r="T164" s="201"/>
      <c r="U164" s="201"/>
      <c r="V164" s="201" t="s">
        <v>177</v>
      </c>
      <c r="W164" s="201"/>
      <c r="X164" s="201"/>
      <c r="Y164" s="201"/>
      <c r="Z164" s="201"/>
      <c r="AA164" s="201"/>
      <c r="AB164" s="201"/>
      <c r="AC164" s="201" t="s">
        <v>178</v>
      </c>
      <c r="AD164" s="201"/>
      <c r="AE164" s="201"/>
      <c r="AF164" s="201"/>
      <c r="AG164" s="201"/>
      <c r="AH164" s="201"/>
      <c r="AI164" s="201"/>
      <c r="AJ164" s="201" t="s">
        <v>175</v>
      </c>
      <c r="AK164" s="201"/>
      <c r="AL164" s="201"/>
      <c r="AM164" s="201"/>
      <c r="AN164" s="201"/>
      <c r="AO164" s="201"/>
      <c r="AP164" s="201"/>
      <c r="AQ164" s="203" t="s">
        <v>179</v>
      </c>
      <c r="AR164" s="203"/>
      <c r="AS164" s="203"/>
      <c r="AT164" s="203"/>
      <c r="AU164" s="203"/>
      <c r="AV164" s="203"/>
      <c r="AW164" s="203"/>
      <c r="AX164" s="201" t="s">
        <v>178</v>
      </c>
      <c r="AY164" s="201"/>
      <c r="AZ164" s="201"/>
      <c r="BA164" s="201"/>
      <c r="BB164" s="201"/>
      <c r="BC164" s="201"/>
      <c r="BD164" s="201"/>
      <c r="BE164" s="201" t="s">
        <v>176</v>
      </c>
      <c r="BF164" s="201"/>
      <c r="BG164" s="201"/>
      <c r="BH164" s="201"/>
      <c r="BI164" s="201"/>
      <c r="BJ164" s="201"/>
      <c r="BK164" s="201" t="s">
        <v>179</v>
      </c>
      <c r="BL164" s="201"/>
      <c r="BM164" s="201"/>
      <c r="BN164" s="201"/>
      <c r="BO164" s="201"/>
      <c r="BP164" s="201"/>
      <c r="BQ164" s="201" t="s">
        <v>180</v>
      </c>
      <c r="BR164" s="201"/>
      <c r="BS164" s="201"/>
      <c r="BT164" s="201"/>
      <c r="BU164" s="201"/>
      <c r="BV164" s="201"/>
      <c r="BW164" s="201" t="s">
        <v>176</v>
      </c>
      <c r="BX164" s="201"/>
      <c r="BY164" s="201"/>
      <c r="BZ164" s="201"/>
      <c r="CA164" s="201"/>
      <c r="CB164" s="201"/>
      <c r="CC164" s="201" t="s">
        <v>179</v>
      </c>
      <c r="CD164" s="201"/>
      <c r="CE164" s="201"/>
      <c r="CF164" s="201"/>
      <c r="CG164" s="201"/>
      <c r="CH164" s="201"/>
      <c r="CI164" s="201" t="s">
        <v>178</v>
      </c>
      <c r="CJ164" s="201"/>
      <c r="CK164" s="201"/>
      <c r="CL164" s="201"/>
      <c r="CM164" s="201"/>
      <c r="CN164" s="201"/>
      <c r="CO164" s="201"/>
      <c r="EJ164" s="13"/>
    </row>
    <row r="165" spans="1:140" s="1" customFormat="1" ht="13" hidden="1" customHeight="1" x14ac:dyDescent="0.35">
      <c r="A165" s="137" t="s">
        <v>105</v>
      </c>
      <c r="B165" s="137"/>
      <c r="C165" s="137"/>
      <c r="D165" s="137"/>
      <c r="E165" s="137"/>
      <c r="F165" s="137"/>
      <c r="G165" s="137"/>
      <c r="H165" s="137"/>
      <c r="I165" s="137"/>
      <c r="J165" s="137"/>
      <c r="K165" s="137"/>
      <c r="L165" s="137"/>
      <c r="M165" s="137"/>
      <c r="N165" s="137"/>
      <c r="O165" s="195"/>
      <c r="P165" s="195"/>
      <c r="Q165" s="195"/>
      <c r="R165" s="195"/>
      <c r="S165" s="195"/>
      <c r="T165" s="195"/>
      <c r="U165" s="195"/>
      <c r="V165" s="195"/>
      <c r="W165" s="195"/>
      <c r="X165" s="195"/>
      <c r="Y165" s="195"/>
      <c r="Z165" s="195"/>
      <c r="AA165" s="195"/>
      <c r="AB165" s="195"/>
      <c r="AC165" s="195"/>
      <c r="AD165" s="195"/>
      <c r="AE165" s="195"/>
      <c r="AF165" s="195"/>
      <c r="AG165" s="195"/>
      <c r="AH165" s="195"/>
      <c r="AI165" s="195"/>
      <c r="AJ165" s="195"/>
      <c r="AK165" s="195"/>
      <c r="AL165" s="195"/>
      <c r="AM165" s="195"/>
      <c r="AN165" s="195"/>
      <c r="AO165" s="195"/>
      <c r="AP165" s="195"/>
      <c r="AQ165" s="195"/>
      <c r="AR165" s="195"/>
      <c r="AS165" s="195"/>
      <c r="AT165" s="195"/>
      <c r="AU165" s="195"/>
      <c r="AV165" s="195"/>
      <c r="AW165" s="195"/>
      <c r="AX165" s="195"/>
      <c r="AY165" s="195"/>
      <c r="AZ165" s="195"/>
      <c r="BA165" s="195"/>
      <c r="BB165" s="195"/>
      <c r="BC165" s="195"/>
      <c r="BD165" s="195"/>
      <c r="BE165" s="195"/>
      <c r="BF165" s="195"/>
      <c r="BG165" s="195"/>
      <c r="BH165" s="195"/>
      <c r="BI165" s="195"/>
      <c r="BJ165" s="195"/>
      <c r="BK165" s="195"/>
      <c r="BL165" s="195"/>
      <c r="BM165" s="195"/>
      <c r="BN165" s="195"/>
      <c r="BO165" s="195"/>
      <c r="BP165" s="195"/>
      <c r="BQ165" s="195"/>
      <c r="BR165" s="195"/>
      <c r="BS165" s="195"/>
      <c r="BT165" s="195"/>
      <c r="BU165" s="195"/>
      <c r="BV165" s="195"/>
      <c r="BW165" s="195"/>
      <c r="BX165" s="195"/>
      <c r="BY165" s="195"/>
      <c r="BZ165" s="195"/>
      <c r="CA165" s="195"/>
      <c r="CB165" s="195"/>
      <c r="CC165" s="195"/>
      <c r="CD165" s="195"/>
      <c r="CE165" s="195"/>
      <c r="CF165" s="195"/>
      <c r="CG165" s="195"/>
      <c r="CH165" s="195"/>
      <c r="CI165" s="195"/>
      <c r="CJ165" s="195"/>
      <c r="CK165" s="195"/>
      <c r="CL165" s="195"/>
      <c r="CM165" s="195"/>
      <c r="CN165" s="195"/>
      <c r="CO165" s="195"/>
      <c r="EJ165" s="13"/>
    </row>
    <row r="166" spans="1:140" s="1" customFormat="1" ht="13" hidden="1" customHeight="1" x14ac:dyDescent="0.35">
      <c r="A166" s="137" t="s">
        <v>171</v>
      </c>
      <c r="B166" s="137"/>
      <c r="C166" s="137"/>
      <c r="D166" s="137"/>
      <c r="E166" s="137"/>
      <c r="F166" s="137"/>
      <c r="G166" s="137"/>
      <c r="H166" s="137"/>
      <c r="I166" s="137"/>
      <c r="J166" s="137"/>
      <c r="K166" s="137"/>
      <c r="L166" s="137"/>
      <c r="M166" s="137"/>
      <c r="N166" s="137"/>
      <c r="O166" s="193"/>
      <c r="P166" s="193"/>
      <c r="Q166" s="193"/>
      <c r="R166" s="193"/>
      <c r="S166" s="193"/>
      <c r="T166" s="193"/>
      <c r="U166" s="193"/>
      <c r="V166" s="193"/>
      <c r="W166" s="193"/>
      <c r="X166" s="193"/>
      <c r="Y166" s="193"/>
      <c r="Z166" s="193"/>
      <c r="AA166" s="193"/>
      <c r="AB166" s="193"/>
      <c r="AC166" s="193"/>
      <c r="AD166" s="193"/>
      <c r="AE166" s="193"/>
      <c r="AF166" s="193"/>
      <c r="AG166" s="193"/>
      <c r="AH166" s="193"/>
      <c r="AI166" s="193"/>
      <c r="AJ166" s="193"/>
      <c r="AK166" s="193"/>
      <c r="AL166" s="193"/>
      <c r="AM166" s="193"/>
      <c r="AN166" s="193"/>
      <c r="AO166" s="193"/>
      <c r="AP166" s="193"/>
      <c r="AQ166" s="193"/>
      <c r="AR166" s="193"/>
      <c r="AS166" s="193"/>
      <c r="AT166" s="193"/>
      <c r="AU166" s="193"/>
      <c r="AV166" s="193"/>
      <c r="AW166" s="193"/>
      <c r="AX166" s="193"/>
      <c r="AY166" s="193"/>
      <c r="AZ166" s="193"/>
      <c r="BA166" s="193"/>
      <c r="BB166" s="193"/>
      <c r="BC166" s="193"/>
      <c r="BD166" s="193"/>
      <c r="BE166" s="193"/>
      <c r="BF166" s="193"/>
      <c r="BG166" s="193"/>
      <c r="BH166" s="193"/>
      <c r="BI166" s="193"/>
      <c r="BJ166" s="193"/>
      <c r="BK166" s="193"/>
      <c r="BL166" s="193"/>
      <c r="BM166" s="193"/>
      <c r="BN166" s="193"/>
      <c r="BO166" s="193"/>
      <c r="BP166" s="193"/>
      <c r="BQ166" s="193"/>
      <c r="BR166" s="193"/>
      <c r="BS166" s="193"/>
      <c r="BT166" s="193"/>
      <c r="BU166" s="193"/>
      <c r="BV166" s="193"/>
      <c r="BW166" s="193"/>
      <c r="BX166" s="193"/>
      <c r="BY166" s="193"/>
      <c r="BZ166" s="193"/>
      <c r="CA166" s="193"/>
      <c r="CB166" s="193"/>
      <c r="CC166" s="193"/>
      <c r="CD166" s="193"/>
      <c r="CE166" s="193"/>
      <c r="CF166" s="193"/>
      <c r="CG166" s="193"/>
      <c r="CH166" s="193"/>
      <c r="CI166" s="193"/>
      <c r="CJ166" s="193"/>
      <c r="CK166" s="193"/>
      <c r="CL166" s="193"/>
      <c r="CM166" s="193"/>
      <c r="CN166" s="193"/>
      <c r="CO166" s="193"/>
      <c r="EJ166" s="13"/>
    </row>
    <row r="167" spans="1:140" s="1" customFormat="1" ht="13" hidden="1" customHeight="1" x14ac:dyDescent="0.35">
      <c r="A167" s="137" t="s">
        <v>172</v>
      </c>
      <c r="B167" s="137"/>
      <c r="C167" s="137"/>
      <c r="D167" s="137"/>
      <c r="E167" s="137"/>
      <c r="F167" s="137"/>
      <c r="G167" s="137"/>
      <c r="H167" s="137"/>
      <c r="I167" s="137"/>
      <c r="J167" s="137"/>
      <c r="K167" s="137"/>
      <c r="L167" s="137"/>
      <c r="M167" s="137"/>
      <c r="N167" s="137"/>
      <c r="O167" s="193"/>
      <c r="P167" s="193"/>
      <c r="Q167" s="193"/>
      <c r="R167" s="193"/>
      <c r="S167" s="193"/>
      <c r="T167" s="193"/>
      <c r="U167" s="193"/>
      <c r="V167" s="193"/>
      <c r="W167" s="193"/>
      <c r="X167" s="193"/>
      <c r="Y167" s="193"/>
      <c r="Z167" s="193"/>
      <c r="AA167" s="193"/>
      <c r="AB167" s="193"/>
      <c r="AC167" s="193"/>
      <c r="AD167" s="193"/>
      <c r="AE167" s="193"/>
      <c r="AF167" s="193"/>
      <c r="AG167" s="193"/>
      <c r="AH167" s="193"/>
      <c r="AI167" s="193"/>
      <c r="AJ167" s="193"/>
      <c r="AK167" s="193"/>
      <c r="AL167" s="193"/>
      <c r="AM167" s="193"/>
      <c r="AN167" s="193"/>
      <c r="AO167" s="193"/>
      <c r="AP167" s="193"/>
      <c r="AQ167" s="193"/>
      <c r="AR167" s="193"/>
      <c r="AS167" s="193"/>
      <c r="AT167" s="193"/>
      <c r="AU167" s="193"/>
      <c r="AV167" s="193"/>
      <c r="AW167" s="193"/>
      <c r="AX167" s="193"/>
      <c r="AY167" s="193"/>
      <c r="AZ167" s="193"/>
      <c r="BA167" s="193"/>
      <c r="BB167" s="193"/>
      <c r="BC167" s="193"/>
      <c r="BD167" s="193"/>
      <c r="BE167" s="193"/>
      <c r="BF167" s="193"/>
      <c r="BG167" s="193"/>
      <c r="BH167" s="193"/>
      <c r="BI167" s="193"/>
      <c r="BJ167" s="193"/>
      <c r="BK167" s="193"/>
      <c r="BL167" s="193"/>
      <c r="BM167" s="193"/>
      <c r="BN167" s="193"/>
      <c r="BO167" s="193"/>
      <c r="BP167" s="193"/>
      <c r="BQ167" s="193"/>
      <c r="BR167" s="193"/>
      <c r="BS167" s="193"/>
      <c r="BT167" s="193"/>
      <c r="BU167" s="193"/>
      <c r="BV167" s="193"/>
      <c r="BW167" s="193"/>
      <c r="BX167" s="193"/>
      <c r="BY167" s="193"/>
      <c r="BZ167" s="193"/>
      <c r="CA167" s="193"/>
      <c r="CB167" s="193"/>
      <c r="CC167" s="193"/>
      <c r="CD167" s="193"/>
      <c r="CE167" s="193"/>
      <c r="CF167" s="193"/>
      <c r="CG167" s="193"/>
      <c r="CH167" s="193"/>
      <c r="CI167" s="193"/>
      <c r="CJ167" s="193"/>
      <c r="CK167" s="193"/>
      <c r="CL167" s="193"/>
      <c r="CM167" s="193"/>
      <c r="CN167" s="193"/>
      <c r="CO167" s="193"/>
      <c r="EJ167" s="13"/>
    </row>
    <row r="168" spans="1:140" s="1" customFormat="1" ht="10" hidden="1" customHeight="1" x14ac:dyDescent="0.35">
      <c r="A168" s="137" t="s">
        <v>198</v>
      </c>
      <c r="B168" s="137"/>
      <c r="C168" s="137"/>
      <c r="D168" s="137"/>
      <c r="E168" s="137"/>
      <c r="F168" s="137"/>
      <c r="G168" s="137"/>
      <c r="H168" s="137"/>
      <c r="I168" s="137"/>
      <c r="J168" s="137"/>
      <c r="K168" s="137"/>
      <c r="L168" s="137"/>
      <c r="M168" s="137"/>
      <c r="N168" s="137"/>
      <c r="O168" s="201" t="s">
        <v>214</v>
      </c>
      <c r="P168" s="201"/>
      <c r="Q168" s="201"/>
      <c r="R168" s="201"/>
      <c r="S168" s="201"/>
      <c r="T168" s="201"/>
      <c r="U168" s="201"/>
      <c r="V168" s="201"/>
      <c r="W168" s="201"/>
      <c r="X168" s="201"/>
      <c r="Y168" s="201"/>
      <c r="Z168" s="201"/>
      <c r="AA168" s="201"/>
      <c r="AB168" s="201"/>
      <c r="AC168" s="201"/>
      <c r="AD168" s="201"/>
      <c r="AE168" s="201"/>
      <c r="AF168" s="201"/>
      <c r="AG168" s="201"/>
      <c r="AH168" s="201"/>
      <c r="AI168" s="201"/>
      <c r="AJ168" s="201"/>
      <c r="AK168" s="201"/>
      <c r="AL168" s="201"/>
      <c r="AM168" s="201"/>
      <c r="AN168" s="201"/>
      <c r="AO168" s="201"/>
      <c r="AP168" s="201"/>
      <c r="AQ168" s="201"/>
      <c r="AR168" s="201"/>
      <c r="AS168" s="201"/>
      <c r="AT168" s="201"/>
      <c r="AU168" s="201"/>
      <c r="AV168" s="201"/>
      <c r="AW168" s="201"/>
      <c r="AX168" s="201"/>
      <c r="AY168" s="201"/>
      <c r="AZ168" s="201"/>
      <c r="BA168" s="201"/>
      <c r="BB168" s="201"/>
      <c r="BC168" s="201"/>
      <c r="BD168" s="201"/>
      <c r="BE168" s="201"/>
      <c r="BF168" s="201"/>
      <c r="BG168" s="201"/>
      <c r="BH168" s="201"/>
      <c r="BI168" s="201"/>
      <c r="BJ168" s="201"/>
      <c r="BK168" s="201"/>
      <c r="BL168" s="201"/>
      <c r="BM168" s="201"/>
      <c r="BN168" s="201"/>
      <c r="BO168" s="201"/>
      <c r="BP168" s="201"/>
      <c r="BQ168" s="201"/>
      <c r="BR168" s="201"/>
      <c r="BS168" s="201"/>
      <c r="BT168" s="201"/>
      <c r="BU168" s="201"/>
      <c r="BV168" s="201"/>
      <c r="BW168" s="201"/>
      <c r="BX168" s="201"/>
      <c r="BY168" s="201"/>
      <c r="BZ168" s="201"/>
      <c r="CA168" s="201"/>
      <c r="CB168" s="201"/>
      <c r="CC168" s="201"/>
      <c r="CD168" s="201"/>
      <c r="CE168" s="201"/>
      <c r="CF168" s="201"/>
      <c r="CG168" s="201"/>
      <c r="CH168" s="201"/>
      <c r="CI168" s="201"/>
      <c r="CJ168" s="201"/>
      <c r="CK168" s="201"/>
      <c r="CL168" s="201"/>
      <c r="CM168" s="201"/>
      <c r="CN168" s="201"/>
      <c r="CO168" s="201"/>
      <c r="EJ168" s="13"/>
    </row>
    <row r="169" spans="1:140" s="1" customFormat="1" ht="10" hidden="1" customHeight="1" x14ac:dyDescent="0.35">
      <c r="A169" s="137" t="s">
        <v>199</v>
      </c>
      <c r="B169" s="137"/>
      <c r="C169" s="137"/>
      <c r="D169" s="137"/>
      <c r="E169" s="137"/>
      <c r="F169" s="137"/>
      <c r="G169" s="137"/>
      <c r="H169" s="137"/>
      <c r="I169" s="137"/>
      <c r="J169" s="137"/>
      <c r="K169" s="137"/>
      <c r="L169" s="137"/>
      <c r="M169" s="137"/>
      <c r="N169" s="137"/>
      <c r="O169" s="201"/>
      <c r="P169" s="201"/>
      <c r="Q169" s="201"/>
      <c r="R169" s="201"/>
      <c r="S169" s="201"/>
      <c r="T169" s="201"/>
      <c r="U169" s="201"/>
      <c r="V169" s="201"/>
      <c r="W169" s="201"/>
      <c r="X169" s="201"/>
      <c r="Y169" s="201"/>
      <c r="Z169" s="201"/>
      <c r="AA169" s="201"/>
      <c r="AB169" s="201"/>
      <c r="AC169" s="201"/>
      <c r="AD169" s="201"/>
      <c r="AE169" s="201"/>
      <c r="AF169" s="201"/>
      <c r="AG169" s="201"/>
      <c r="AH169" s="201"/>
      <c r="AI169" s="201"/>
      <c r="AJ169" s="201"/>
      <c r="AK169" s="201"/>
      <c r="AL169" s="201"/>
      <c r="AM169" s="201"/>
      <c r="AN169" s="201"/>
      <c r="AO169" s="201"/>
      <c r="AP169" s="201"/>
      <c r="AQ169" s="201"/>
      <c r="AR169" s="201"/>
      <c r="AS169" s="201"/>
      <c r="AT169" s="201"/>
      <c r="AU169" s="201"/>
      <c r="AV169" s="201"/>
      <c r="AW169" s="201"/>
      <c r="AX169" s="201"/>
      <c r="AY169" s="201"/>
      <c r="AZ169" s="201"/>
      <c r="BA169" s="201"/>
      <c r="BB169" s="201"/>
      <c r="BC169" s="201"/>
      <c r="BD169" s="201"/>
      <c r="BE169" s="201"/>
      <c r="BF169" s="201"/>
      <c r="BG169" s="201"/>
      <c r="BH169" s="201"/>
      <c r="BI169" s="201"/>
      <c r="BJ169" s="201"/>
      <c r="BK169" s="201"/>
      <c r="BL169" s="201"/>
      <c r="BM169" s="201"/>
      <c r="BN169" s="201"/>
      <c r="BO169" s="201"/>
      <c r="BP169" s="201"/>
      <c r="BQ169" s="201"/>
      <c r="BR169" s="201"/>
      <c r="BS169" s="201"/>
      <c r="BT169" s="201"/>
      <c r="BU169" s="201"/>
      <c r="BV169" s="201"/>
      <c r="BW169" s="201"/>
      <c r="BX169" s="201"/>
      <c r="BY169" s="201"/>
      <c r="BZ169" s="201"/>
      <c r="CA169" s="201"/>
      <c r="CB169" s="201"/>
      <c r="CC169" s="201"/>
      <c r="CD169" s="201"/>
      <c r="CE169" s="201"/>
      <c r="CF169" s="201"/>
      <c r="CG169" s="201"/>
      <c r="CH169" s="201"/>
      <c r="CI169" s="201"/>
      <c r="CJ169" s="201"/>
      <c r="CK169" s="201"/>
      <c r="CL169" s="201"/>
      <c r="CM169" s="201"/>
      <c r="CN169" s="201"/>
      <c r="CO169" s="201"/>
      <c r="EJ169" s="13"/>
    </row>
    <row r="170" spans="1:140" s="1" customFormat="1" ht="17.149999999999999" hidden="1" customHeight="1" x14ac:dyDescent="0.35">
      <c r="A170" s="191" t="s">
        <v>302</v>
      </c>
      <c r="B170" s="191"/>
      <c r="C170" s="191"/>
      <c r="D170" s="191"/>
      <c r="E170" s="191"/>
      <c r="F170" s="191"/>
      <c r="G170" s="191"/>
      <c r="H170" s="191"/>
      <c r="I170" s="191"/>
      <c r="J170" s="191"/>
      <c r="K170" s="191"/>
      <c r="L170" s="191"/>
      <c r="M170" s="191"/>
      <c r="N170" s="191"/>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c r="AK170" s="192"/>
      <c r="AL170" s="192"/>
      <c r="AM170" s="192"/>
      <c r="AN170" s="192"/>
      <c r="AO170" s="192"/>
      <c r="AP170" s="192"/>
      <c r="AQ170" s="192"/>
      <c r="AR170" s="192"/>
      <c r="AS170" s="192"/>
      <c r="AT170" s="192"/>
      <c r="AU170" s="192"/>
      <c r="AV170" s="192"/>
      <c r="AW170" s="192"/>
      <c r="AX170" s="192"/>
      <c r="AY170" s="192"/>
      <c r="AZ170" s="192"/>
      <c r="BA170" s="192"/>
      <c r="BB170" s="192"/>
      <c r="BC170" s="192"/>
      <c r="BD170" s="192"/>
      <c r="BE170" s="192"/>
      <c r="BF170" s="192"/>
      <c r="BG170" s="192"/>
      <c r="BH170" s="192"/>
      <c r="BI170" s="192"/>
      <c r="BJ170" s="192"/>
      <c r="BK170" s="192"/>
      <c r="BL170" s="192"/>
      <c r="BM170" s="192"/>
      <c r="BN170" s="192"/>
      <c r="BO170" s="192"/>
      <c r="BP170" s="192"/>
      <c r="BQ170" s="192"/>
      <c r="BR170" s="192"/>
      <c r="BS170" s="192"/>
      <c r="BT170" s="192"/>
      <c r="BU170" s="192"/>
      <c r="BV170" s="192"/>
      <c r="BW170" s="192"/>
      <c r="BX170" s="192"/>
      <c r="BY170" s="192"/>
      <c r="BZ170" s="192"/>
      <c r="CA170" s="192"/>
      <c r="CB170" s="192"/>
      <c r="CC170" s="192"/>
      <c r="CD170" s="192"/>
      <c r="CE170" s="192"/>
      <c r="CF170" s="192"/>
      <c r="CG170" s="192"/>
      <c r="CH170" s="192"/>
      <c r="CI170" s="192"/>
      <c r="CJ170" s="192"/>
      <c r="CK170" s="192"/>
      <c r="CL170" s="192"/>
      <c r="CM170" s="192"/>
      <c r="CN170" s="192"/>
      <c r="CO170" s="192"/>
      <c r="EJ170" s="13"/>
    </row>
    <row r="171" spans="1:140" s="1" customFormat="1" ht="14.15" customHeight="1" x14ac:dyDescent="0.3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c r="CM171" s="13"/>
      <c r="CN171" s="13"/>
      <c r="CO171" s="13"/>
      <c r="EJ171" s="13"/>
    </row>
    <row r="172" spans="1:140" s="1" customFormat="1" ht="14.15" customHeight="1" x14ac:dyDescent="0.35">
      <c r="A172" s="80"/>
      <c r="B172" s="80"/>
      <c r="C172" s="80"/>
      <c r="D172" s="80"/>
      <c r="E172" s="80"/>
      <c r="F172" s="80"/>
      <c r="G172" s="80"/>
      <c r="H172" s="80"/>
      <c r="I172" s="80"/>
      <c r="J172" s="80"/>
      <c r="K172" s="80"/>
      <c r="L172" s="80"/>
      <c r="M172" s="80"/>
      <c r="N172" s="80"/>
      <c r="O172" s="80"/>
      <c r="P172" s="80"/>
      <c r="Q172" s="80"/>
      <c r="R172" s="80"/>
      <c r="S172" s="80"/>
      <c r="T172" s="80"/>
      <c r="U172" s="80"/>
      <c r="V172" s="80"/>
      <c r="Y172" s="164"/>
      <c r="Z172" s="164"/>
      <c r="AA172" s="164"/>
      <c r="AB172" s="164"/>
      <c r="AC172" s="164"/>
      <c r="AD172" s="164"/>
      <c r="AE172" s="164"/>
      <c r="AF172" s="164"/>
      <c r="AG172" s="164"/>
      <c r="AH172" s="164"/>
      <c r="AI172" s="164"/>
      <c r="AJ172" s="164"/>
      <c r="AK172" s="164"/>
      <c r="AL172" s="164"/>
      <c r="AM172" s="164"/>
      <c r="AN172" s="164"/>
      <c r="AO172" s="164"/>
      <c r="AP172" s="164"/>
      <c r="AQ172" s="164"/>
      <c r="AR172" s="164"/>
      <c r="AS172" s="164"/>
      <c r="AT172" s="164"/>
      <c r="AU172" s="164"/>
      <c r="AV172" s="164"/>
      <c r="AW172" s="164"/>
      <c r="AX172" s="164"/>
      <c r="AY172" s="164"/>
      <c r="AZ172" s="164"/>
      <c r="BA172" s="164"/>
      <c r="BB172" s="164"/>
      <c r="BC172" s="164"/>
      <c r="BD172" s="164" t="str">
        <f>BD61</f>
        <v>(ANANDAKUMAR K)</v>
      </c>
      <c r="BE172" s="164"/>
      <c r="BF172" s="164"/>
      <c r="BG172" s="164"/>
      <c r="BH172" s="164"/>
      <c r="BI172" s="164"/>
      <c r="BJ172" s="164"/>
      <c r="BK172" s="164"/>
      <c r="BL172" s="164"/>
      <c r="BM172" s="164"/>
      <c r="BN172" s="164"/>
      <c r="BO172" s="164"/>
      <c r="BP172" s="164"/>
      <c r="BQ172" s="164"/>
      <c r="BR172" s="164"/>
      <c r="BS172" s="164"/>
      <c r="BT172" s="164"/>
      <c r="BU172" s="164"/>
      <c r="BV172" s="164"/>
      <c r="BW172" s="164"/>
      <c r="BX172" s="164"/>
      <c r="BY172" s="164"/>
      <c r="BZ172" s="164"/>
      <c r="CA172" s="164"/>
      <c r="CB172" s="164"/>
      <c r="CC172" s="164"/>
      <c r="CD172" s="164"/>
      <c r="CE172" s="164"/>
      <c r="CF172" s="164"/>
      <c r="CG172" s="164"/>
      <c r="CH172" s="164"/>
      <c r="CI172" s="164"/>
      <c r="CJ172" s="164"/>
      <c r="CK172" s="164"/>
      <c r="CL172" s="164"/>
      <c r="CM172" s="164"/>
      <c r="CN172" s="164"/>
      <c r="CO172" s="164"/>
      <c r="EJ172" s="13"/>
    </row>
    <row r="173" spans="1:140" s="1" customFormat="1" ht="14.15" customHeight="1" x14ac:dyDescent="0.35">
      <c r="A173" s="80" t="s">
        <v>205</v>
      </c>
      <c r="B173" s="80"/>
      <c r="C173" s="80"/>
      <c r="D173" s="80"/>
      <c r="E173" s="80"/>
      <c r="F173" s="80"/>
      <c r="G173" s="80"/>
      <c r="H173" s="80"/>
      <c r="I173" s="80"/>
      <c r="J173" s="80"/>
      <c r="K173" s="80"/>
      <c r="L173" s="80"/>
      <c r="M173" s="80"/>
      <c r="N173" s="80"/>
      <c r="O173" s="80"/>
      <c r="P173" s="80"/>
      <c r="Q173" s="80"/>
      <c r="R173" s="80"/>
      <c r="S173" s="80"/>
      <c r="T173" s="80"/>
      <c r="U173" s="80"/>
      <c r="V173" s="80"/>
      <c r="W173" s="3"/>
      <c r="X173" s="3"/>
      <c r="Y173" s="253" t="s">
        <v>229</v>
      </c>
      <c r="Z173" s="253"/>
      <c r="AA173" s="253"/>
      <c r="AB173" s="253"/>
      <c r="AC173" s="253"/>
      <c r="AD173" s="253"/>
      <c r="AE173" s="253"/>
      <c r="AF173" s="253"/>
      <c r="AG173" s="253"/>
      <c r="AH173" s="253"/>
      <c r="AI173" s="253"/>
      <c r="AJ173" s="253"/>
      <c r="AK173" s="253"/>
      <c r="AL173" s="253"/>
      <c r="AM173" s="253"/>
      <c r="AN173" s="253"/>
      <c r="AO173" s="253"/>
      <c r="AP173" s="253"/>
      <c r="AQ173" s="253"/>
      <c r="AR173" s="253"/>
      <c r="AS173" s="253"/>
      <c r="AT173" s="253"/>
      <c r="AU173" s="253"/>
      <c r="AV173" s="253"/>
      <c r="AW173" s="253"/>
      <c r="AX173" s="253"/>
      <c r="AY173" s="253"/>
      <c r="AZ173" s="253"/>
      <c r="BA173" s="253"/>
      <c r="BB173" s="253"/>
      <c r="BC173" s="253"/>
      <c r="BD173" s="164" t="str">
        <f t="shared" ref="BD173:BD174" si="0">BD62</f>
        <v>Assistant Executive Engineer (Ele.)</v>
      </c>
      <c r="BE173" s="164"/>
      <c r="BF173" s="164"/>
      <c r="BG173" s="164"/>
      <c r="BH173" s="164"/>
      <c r="BI173" s="164"/>
      <c r="BJ173" s="164"/>
      <c r="BK173" s="164"/>
      <c r="BL173" s="164"/>
      <c r="BM173" s="164"/>
      <c r="BN173" s="164"/>
      <c r="BO173" s="164"/>
      <c r="BP173" s="164"/>
      <c r="BQ173" s="164"/>
      <c r="BR173" s="164"/>
      <c r="BS173" s="164"/>
      <c r="BT173" s="164"/>
      <c r="BU173" s="164"/>
      <c r="BV173" s="164"/>
      <c r="BW173" s="164"/>
      <c r="BX173" s="164"/>
      <c r="BY173" s="164"/>
      <c r="BZ173" s="164"/>
      <c r="CA173" s="164"/>
      <c r="CB173" s="164"/>
      <c r="CC173" s="164"/>
      <c r="CD173" s="164"/>
      <c r="CE173" s="164"/>
      <c r="CF173" s="164"/>
      <c r="CG173" s="164"/>
      <c r="CH173" s="164"/>
      <c r="CI173" s="164"/>
      <c r="CJ173" s="164"/>
      <c r="CK173" s="164"/>
      <c r="CL173" s="164"/>
      <c r="CM173" s="164"/>
      <c r="CN173" s="164"/>
      <c r="CO173" s="164"/>
      <c r="EJ173" s="13"/>
    </row>
    <row r="174" spans="1:140" s="1" customFormat="1" ht="14.15" customHeight="1" x14ac:dyDescent="0.35">
      <c r="A174" s="163" t="s">
        <v>206</v>
      </c>
      <c r="B174" s="163"/>
      <c r="C174" s="163"/>
      <c r="D174" s="163"/>
      <c r="E174" s="163"/>
      <c r="F174" s="163"/>
      <c r="G174" s="163"/>
      <c r="H174" s="163"/>
      <c r="I174" s="163"/>
      <c r="J174" s="163"/>
      <c r="K174" s="163"/>
      <c r="L174" s="163"/>
      <c r="M174" s="163"/>
      <c r="N174" s="163"/>
      <c r="O174" s="163"/>
      <c r="P174" s="163"/>
      <c r="Q174" s="163"/>
      <c r="R174" s="163"/>
      <c r="S174" s="163"/>
      <c r="T174" s="163"/>
      <c r="U174" s="163"/>
      <c r="V174" s="163"/>
      <c r="W174" s="34"/>
      <c r="X174" s="34"/>
      <c r="Y174" s="252" t="s">
        <v>72</v>
      </c>
      <c r="Z174" s="252"/>
      <c r="AA174" s="252"/>
      <c r="AB174" s="252"/>
      <c r="AC174" s="252"/>
      <c r="AD174" s="252"/>
      <c r="AE174" s="252"/>
      <c r="AF174" s="252"/>
      <c r="AG174" s="252"/>
      <c r="AH174" s="252"/>
      <c r="AI174" s="252"/>
      <c r="AJ174" s="252"/>
      <c r="AK174" s="252"/>
      <c r="AL174" s="252"/>
      <c r="AM174" s="252"/>
      <c r="AN174" s="252"/>
      <c r="AO174" s="252"/>
      <c r="AP174" s="252"/>
      <c r="AQ174" s="252"/>
      <c r="AR174" s="252"/>
      <c r="AS174" s="252"/>
      <c r="AT174" s="252"/>
      <c r="AU174" s="252"/>
      <c r="AV174" s="252"/>
      <c r="AW174" s="252"/>
      <c r="AX174" s="252"/>
      <c r="AY174" s="252"/>
      <c r="AZ174" s="252"/>
      <c r="BA174" s="252"/>
      <c r="BB174" s="252"/>
      <c r="BC174" s="252"/>
      <c r="BD174" s="164" t="str">
        <f t="shared" si="0"/>
        <v>HTR, HSR, MTD, BMAZ, BESCOM, Bengaluru</v>
      </c>
      <c r="BE174" s="164"/>
      <c r="BF174" s="164"/>
      <c r="BG174" s="164"/>
      <c r="BH174" s="164"/>
      <c r="BI174" s="164"/>
      <c r="BJ174" s="164"/>
      <c r="BK174" s="164"/>
      <c r="BL174" s="164"/>
      <c r="BM174" s="164"/>
      <c r="BN174" s="164"/>
      <c r="BO174" s="164"/>
      <c r="BP174" s="164"/>
      <c r="BQ174" s="164"/>
      <c r="BR174" s="164"/>
      <c r="BS174" s="164"/>
      <c r="BT174" s="164"/>
      <c r="BU174" s="164"/>
      <c r="BV174" s="164"/>
      <c r="BW174" s="164"/>
      <c r="BX174" s="164"/>
      <c r="BY174" s="164"/>
      <c r="BZ174" s="164"/>
      <c r="CA174" s="164"/>
      <c r="CB174" s="164"/>
      <c r="CC174" s="164"/>
      <c r="CD174" s="164"/>
      <c r="CE174" s="164"/>
      <c r="CF174" s="164"/>
      <c r="CG174" s="164"/>
      <c r="CH174" s="164"/>
      <c r="CI174" s="164"/>
      <c r="CJ174" s="164"/>
      <c r="CK174" s="164"/>
      <c r="CL174" s="164"/>
      <c r="CM174" s="164"/>
      <c r="CN174" s="164"/>
      <c r="CO174" s="164"/>
      <c r="EJ174" s="13"/>
    </row>
    <row r="175" spans="1:140" s="1" customFormat="1" ht="14.15" customHeight="1" x14ac:dyDescent="0.35">
      <c r="CH175" s="125" t="s">
        <v>217</v>
      </c>
      <c r="CI175" s="125"/>
      <c r="CJ175" s="125"/>
      <c r="CK175" s="125"/>
      <c r="CL175" s="125"/>
      <c r="CM175" s="125"/>
      <c r="CN175" s="125"/>
      <c r="CO175" s="125"/>
      <c r="EJ175" s="13"/>
    </row>
    <row r="176" spans="1:140" s="1" customFormat="1" ht="14.15" customHeight="1" x14ac:dyDescent="0.35">
      <c r="EJ176" s="13"/>
    </row>
    <row r="177" spans="140:140" s="1" customFormat="1" ht="14.15" customHeight="1" x14ac:dyDescent="0.35">
      <c r="EJ177" s="13"/>
    </row>
    <row r="178" spans="140:140" s="1" customFormat="1" ht="14.15" customHeight="1" x14ac:dyDescent="0.35">
      <c r="EJ178" s="13"/>
    </row>
    <row r="179" spans="140:140" s="1" customFormat="1" ht="14.15" customHeight="1" x14ac:dyDescent="0.35">
      <c r="EJ179" s="13"/>
    </row>
    <row r="180" spans="140:140" s="1" customFormat="1" ht="14.15" customHeight="1" x14ac:dyDescent="0.35">
      <c r="EJ180" s="13"/>
    </row>
    <row r="181" spans="140:140" s="1" customFormat="1" ht="14.15" customHeight="1" x14ac:dyDescent="0.35">
      <c r="EJ181" s="13"/>
    </row>
    <row r="182" spans="140:140" s="1" customFormat="1" ht="13" customHeight="1" x14ac:dyDescent="0.35">
      <c r="EJ182" s="13"/>
    </row>
    <row r="183" spans="140:140" s="1" customFormat="1" ht="13" customHeight="1" x14ac:dyDescent="0.35">
      <c r="EJ183" s="13"/>
    </row>
    <row r="184" spans="140:140" s="1" customFormat="1" ht="13" customHeight="1" x14ac:dyDescent="0.35">
      <c r="EJ184" s="13"/>
    </row>
    <row r="185" spans="140:140" s="1" customFormat="1" ht="13" customHeight="1" x14ac:dyDescent="0.35">
      <c r="EJ185" s="13"/>
    </row>
    <row r="186" spans="140:140" s="1" customFormat="1" ht="13" customHeight="1" x14ac:dyDescent="0.35">
      <c r="EJ186" s="13"/>
    </row>
    <row r="187" spans="140:140" s="1" customFormat="1" ht="13" customHeight="1" x14ac:dyDescent="0.35">
      <c r="EJ187" s="13"/>
    </row>
    <row r="188" spans="140:140" s="1" customFormat="1" ht="13" customHeight="1" x14ac:dyDescent="0.35">
      <c r="EJ188" s="13"/>
    </row>
    <row r="189" spans="140:140" s="1" customFormat="1" ht="13" customHeight="1" x14ac:dyDescent="0.35">
      <c r="EJ189" s="13"/>
    </row>
    <row r="190" spans="140:140" s="1" customFormat="1" ht="13" customHeight="1" x14ac:dyDescent="0.35">
      <c r="EJ190" s="13"/>
    </row>
    <row r="191" spans="140:140" s="1" customFormat="1" ht="13" customHeight="1" x14ac:dyDescent="0.35">
      <c r="EJ191" s="13"/>
    </row>
    <row r="192" spans="140:140" s="1" customFormat="1" ht="13" customHeight="1" x14ac:dyDescent="0.35">
      <c r="EJ192" s="13"/>
    </row>
    <row r="193" spans="1:93" s="2" customFormat="1" ht="13" customHeight="1" x14ac:dyDescent="0.35"/>
    <row r="194" spans="1:93" s="2" customFormat="1" ht="13" customHeight="1" x14ac:dyDescent="0.35">
      <c r="CH194" s="125" t="s">
        <v>217</v>
      </c>
      <c r="CI194" s="125"/>
      <c r="CJ194" s="125"/>
      <c r="CK194" s="125"/>
      <c r="CL194" s="125"/>
      <c r="CM194" s="125"/>
      <c r="CN194" s="125"/>
      <c r="CO194" s="125"/>
    </row>
    <row r="195" spans="1:93" s="2" customFormat="1" ht="13" customHeight="1" x14ac:dyDescent="0.35"/>
    <row r="196" spans="1:93" s="2" customFormat="1" ht="13" customHeight="1" x14ac:dyDescent="0.35"/>
    <row r="197" spans="1:93" s="2" customFormat="1" ht="13" customHeight="1" x14ac:dyDescent="0.35"/>
    <row r="198" spans="1:93" s="2" customFormat="1" ht="13" customHeight="1" x14ac:dyDescent="0.35">
      <c r="A198" s="17"/>
      <c r="B198" s="17"/>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3"/>
      <c r="AV198" s="15"/>
      <c r="AW198" s="15"/>
      <c r="AX198" s="15"/>
      <c r="AY198" s="15"/>
      <c r="AZ198" s="15"/>
      <c r="BA198" s="15"/>
      <c r="BB198" s="15"/>
      <c r="BC198" s="15"/>
      <c r="BD198" s="15"/>
      <c r="BE198" s="15"/>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14"/>
      <c r="CM198" s="14"/>
      <c r="CN198" s="14"/>
      <c r="CO198" s="14"/>
    </row>
    <row r="199" spans="1:93" s="2" customFormat="1" ht="13" customHeight="1"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row>
    <row r="200" spans="1:93" s="2" customFormat="1" ht="13" customHeight="1"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row>
    <row r="201" spans="1:93" s="2" customFormat="1" ht="13" customHeight="1"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row>
    <row r="202" spans="1:93" s="2" customFormat="1" ht="13" customHeight="1"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row>
    <row r="203" spans="1:93" s="2" customFormat="1" ht="13" customHeight="1"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row>
    <row r="204" spans="1:93" s="2" customFormat="1" ht="13" customHeight="1"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row>
    <row r="205" spans="1:93" s="2" customFormat="1" ht="13" customHeight="1"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row>
    <row r="206" spans="1:93" s="2" customFormat="1" ht="13" customHeight="1"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row>
    <row r="207" spans="1:93" s="2" customFormat="1" ht="13" customHeight="1"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row>
    <row r="208" spans="1:93" s="2" customFormat="1" ht="13" customHeight="1"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row>
    <row r="209" spans="1:93" s="2" customFormat="1"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row>
    <row r="210" spans="1:93" s="2" customFormat="1"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row>
    <row r="211" spans="1:93" s="2" customFormat="1"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row>
    <row r="212" spans="1:93" s="2" customFormat="1"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row>
    <row r="213" spans="1:93" s="2" customFormat="1"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row>
    <row r="214" spans="1:93" s="2" customFormat="1"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row>
    <row r="215" spans="1:93" s="2" customFormat="1"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row>
    <row r="216" spans="1:93" s="2" customFormat="1"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row>
    <row r="217" spans="1:93" s="2" customFormat="1"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row>
    <row r="218" spans="1:93" s="2" customFormat="1"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row>
    <row r="219" spans="1:93" s="2" customFormat="1"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row>
    <row r="220" spans="1:93" s="2" customFormat="1"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row>
    <row r="221" spans="1:93" s="2" customFormat="1"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row>
    <row r="222" spans="1:93" s="2" customFormat="1"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row>
    <row r="223" spans="1:93" s="2" customFormat="1"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row>
    <row r="224" spans="1:93" s="2" customFormat="1"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row>
    <row r="225" spans="1:93" s="2" customFormat="1"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row>
    <row r="226" spans="1:93" s="2" customFormat="1"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row>
    <row r="227" spans="1:93" s="2" customFormat="1"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row>
    <row r="228" spans="1:93" s="2" customFormat="1"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row>
    <row r="229" spans="1:93" s="2" customFormat="1"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row>
    <row r="230" spans="1:93" s="2" customFormat="1"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row>
    <row r="231" spans="1:93" s="2" customFormat="1"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row>
    <row r="232" spans="1:93" s="2" customFormat="1"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row>
    <row r="233" spans="1:93" s="2" customFormat="1"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row>
    <row r="234" spans="1:93" s="2" customFormat="1"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row>
    <row r="235" spans="1:93" s="2" customFormat="1"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row>
    <row r="236" spans="1:93" s="2" customFormat="1"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row>
    <row r="237" spans="1:93" s="2" customFormat="1"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row>
    <row r="238" spans="1:93" s="2" customFormat="1"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row>
    <row r="239" spans="1:93" s="2" customFormat="1"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row>
    <row r="240" spans="1:93" s="2" customFormat="1"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row>
    <row r="241" spans="1:93" s="2" customFormat="1"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row>
    <row r="242" spans="1:93" s="2" customFormat="1"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row>
    <row r="243" spans="1:93" s="2" customFormat="1"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row>
    <row r="244" spans="1:93" s="2" customFormat="1"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row>
    <row r="245" spans="1:93" s="2" customFormat="1"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row>
    <row r="246" spans="1:93" s="2" customFormat="1"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row>
    <row r="247" spans="1:93" s="2" customFormat="1"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row>
    <row r="248" spans="1:93" s="2" customFormat="1"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row>
    <row r="249" spans="1:93" s="2" customFormat="1"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row>
    <row r="250" spans="1:93" s="2" customFormat="1"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row>
    <row r="251" spans="1:93" s="2" customFormat="1"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row>
    <row r="252" spans="1:93" s="2" customFormat="1"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row>
    <row r="253" spans="1:93" s="2" customFormat="1"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row>
    <row r="254" spans="1:93" s="2" customFormat="1"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row>
    <row r="255" spans="1:93" s="2" customFormat="1"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row>
    <row r="256" spans="1:93" s="2" customFormat="1"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row>
    <row r="257" spans="1:93" s="2" customFormat="1"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row>
    <row r="258" spans="1:93" s="2" customFormat="1"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row>
    <row r="259" spans="1:93" s="2" customFormat="1"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row>
    <row r="260" spans="1:93" s="2" customFormat="1"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row>
    <row r="261" spans="1:93" s="2" customFormat="1"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row>
    <row r="262" spans="1:93" s="2" customFormat="1"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row>
    <row r="263" spans="1:93" s="2" customFormat="1"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row>
    <row r="264" spans="1:93" s="2" customFormat="1"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row>
    <row r="265" spans="1:93" s="2" customFormat="1"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row>
    <row r="266" spans="1:93" s="2" customFormat="1"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row>
    <row r="267" spans="1:93" s="2" customFormat="1"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row>
    <row r="268" spans="1:93" s="2" customFormat="1"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row>
    <row r="269" spans="1:93" s="2" customFormat="1"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row>
    <row r="270" spans="1:93" s="2" customFormat="1"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row>
    <row r="271" spans="1:93" s="2" customFormat="1"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row>
    <row r="272" spans="1:93" s="2" customFormat="1"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row>
    <row r="273" spans="1:93" s="2" customFormat="1"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row>
    <row r="274" spans="1:93" s="2" customFormat="1"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row>
    <row r="275" spans="1:93" s="2" customFormat="1"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row>
    <row r="276" spans="1:93" s="2" customFormat="1"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row>
    <row r="277" spans="1:93" s="2" customFormat="1"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row>
    <row r="278" spans="1:93" s="2" customFormat="1"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row>
    <row r="279" spans="1:93" s="2" customFormat="1"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row>
    <row r="280" spans="1:93" s="2" customFormat="1"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row>
    <row r="281" spans="1:93" s="2" customFormat="1"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row>
    <row r="282" spans="1:93" s="2" customFormat="1"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row>
    <row r="283" spans="1:93" s="2" customFormat="1"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row>
    <row r="284" spans="1:93" s="2" customFormat="1"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row>
    <row r="285" spans="1:93" s="2" customFormat="1"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row>
    <row r="286" spans="1:93" s="2" customFormat="1"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row>
    <row r="287" spans="1:93" s="2" customFormat="1"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row>
    <row r="288" spans="1:93" s="2" customFormat="1"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row>
    <row r="289" spans="1:93" s="2" customFormat="1"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row>
    <row r="290" spans="1:93" s="2" customFormat="1"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row>
    <row r="291" spans="1:93" s="2" customFormat="1"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row>
    <row r="292" spans="1:93" s="2" customFormat="1"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row>
    <row r="293" spans="1:93" s="2" customFormat="1"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row>
    <row r="294" spans="1:93" s="2" customFormat="1"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row>
    <row r="295" spans="1:93" s="2" customFormat="1"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row>
    <row r="296" spans="1:93" s="2" customFormat="1"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row>
    <row r="297" spans="1:93" s="2" customFormat="1"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row>
    <row r="298" spans="1:93" s="2" customFormat="1"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row>
    <row r="299" spans="1:93" s="2" customFormat="1"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row>
    <row r="300" spans="1:93" s="2" customFormat="1"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row>
    <row r="301" spans="1:93" s="2" customFormat="1"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row>
    <row r="302" spans="1:93" s="2" customFormat="1"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row>
    <row r="303" spans="1:93" s="2" customFormat="1"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row>
    <row r="304" spans="1:93" s="2" customFormat="1"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row>
    <row r="305" spans="1:93" s="2" customFormat="1"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row>
    <row r="306" spans="1:93" s="2" customFormat="1"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row>
    <row r="307" spans="1:93" s="2" customFormat="1"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row>
    <row r="308" spans="1:93" s="2" customFormat="1"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row>
    <row r="309" spans="1:93" s="2" customFormat="1"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row>
    <row r="310" spans="1:93" s="2" customFormat="1"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row>
    <row r="311" spans="1:93" s="2" customFormat="1"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row>
    <row r="312" spans="1:93" s="2" customFormat="1"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row>
    <row r="313" spans="1:93" s="2" customFormat="1"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row>
    <row r="314" spans="1:93" s="2" customFormat="1"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row>
    <row r="315" spans="1:93" s="2" customFormat="1"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row>
    <row r="316" spans="1:93" s="2" customFormat="1"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row>
    <row r="317" spans="1:93" s="2" customFormat="1"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row>
    <row r="318" spans="1:93" s="2" customFormat="1"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row>
    <row r="319" spans="1:93" s="2" customFormat="1"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row>
    <row r="320" spans="1:93" s="2" customFormat="1"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row>
    <row r="321" spans="1:93" s="2" customFormat="1"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row>
    <row r="322" spans="1:93" s="2" customFormat="1"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row>
    <row r="323" spans="1:93" s="2" customFormat="1"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row>
    <row r="324" spans="1:93" s="2" customFormat="1"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row>
    <row r="325" spans="1:93" s="2" customFormat="1"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row>
    <row r="326" spans="1:93" s="2" customFormat="1"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row>
    <row r="327" spans="1:93" s="2" customFormat="1"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row>
    <row r="328" spans="1:93" s="2" customFormat="1"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row>
    <row r="329" spans="1:93" s="2" customFormat="1"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row>
    <row r="330" spans="1:93" s="2" customFormat="1"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row>
    <row r="331" spans="1:93" s="2" customFormat="1"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row>
    <row r="332" spans="1:93" s="2" customFormat="1" x14ac:dyDescent="0.3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c r="BU332" s="9"/>
      <c r="BV332" s="9"/>
      <c r="BW332" s="9"/>
      <c r="BX332" s="9"/>
      <c r="BY332" s="9"/>
      <c r="BZ332" s="9"/>
      <c r="CA332" s="9"/>
      <c r="CB332" s="9"/>
      <c r="CC332" s="9"/>
      <c r="CD332" s="9"/>
      <c r="CE332" s="9"/>
      <c r="CF332" s="9"/>
      <c r="CG332" s="9"/>
      <c r="CH332" s="9"/>
      <c r="CI332" s="9"/>
      <c r="CJ332" s="9"/>
      <c r="CK332" s="9"/>
      <c r="CL332" s="9"/>
      <c r="CM332" s="9"/>
      <c r="CN332" s="9"/>
      <c r="CO332" s="9"/>
    </row>
    <row r="333" spans="1:93" s="2" customFormat="1" x14ac:dyDescent="0.3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c r="BU333" s="9"/>
      <c r="BV333" s="9"/>
      <c r="BW333" s="9"/>
      <c r="BX333" s="9"/>
      <c r="BY333" s="9"/>
      <c r="BZ333" s="9"/>
      <c r="CA333" s="9"/>
      <c r="CB333" s="9"/>
      <c r="CC333" s="9"/>
      <c r="CD333" s="9"/>
      <c r="CE333" s="9"/>
      <c r="CF333" s="9"/>
      <c r="CG333" s="9"/>
      <c r="CH333" s="9"/>
      <c r="CI333" s="9"/>
      <c r="CJ333" s="9"/>
      <c r="CK333" s="9"/>
      <c r="CL333" s="9"/>
      <c r="CM333" s="9"/>
      <c r="CN333" s="9"/>
      <c r="CO333" s="9"/>
    </row>
    <row r="334" spans="1:93" s="2" customFormat="1" x14ac:dyDescent="0.3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c r="BU334" s="9"/>
      <c r="BV334" s="9"/>
      <c r="BW334" s="9"/>
      <c r="BX334" s="9"/>
      <c r="BY334" s="9"/>
      <c r="BZ334" s="9"/>
      <c r="CA334" s="9"/>
      <c r="CB334" s="9"/>
      <c r="CC334" s="9"/>
      <c r="CD334" s="9"/>
      <c r="CE334" s="9"/>
      <c r="CF334" s="9"/>
      <c r="CG334" s="9"/>
      <c r="CH334" s="9"/>
      <c r="CI334" s="9"/>
      <c r="CJ334" s="9"/>
      <c r="CK334" s="9"/>
      <c r="CL334" s="9"/>
      <c r="CM334" s="9"/>
      <c r="CN334" s="9"/>
      <c r="CO334" s="9"/>
    </row>
    <row r="335" spans="1:93" s="2" customFormat="1" x14ac:dyDescent="0.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c r="BQ335" s="9"/>
      <c r="BR335" s="9"/>
      <c r="BS335" s="9"/>
      <c r="BT335" s="9"/>
      <c r="BU335" s="9"/>
      <c r="BV335" s="9"/>
      <c r="BW335" s="9"/>
      <c r="BX335" s="9"/>
      <c r="BY335" s="9"/>
      <c r="BZ335" s="9"/>
      <c r="CA335" s="9"/>
      <c r="CB335" s="9"/>
      <c r="CC335" s="9"/>
      <c r="CD335" s="9"/>
      <c r="CE335" s="9"/>
      <c r="CF335" s="9"/>
      <c r="CG335" s="9"/>
      <c r="CH335" s="9"/>
      <c r="CI335" s="9"/>
      <c r="CJ335" s="9"/>
      <c r="CK335" s="9"/>
      <c r="CL335" s="9"/>
      <c r="CM335" s="9"/>
      <c r="CN335" s="9"/>
      <c r="CO335" s="9"/>
    </row>
    <row r="336" spans="1:93" s="2" customFormat="1" x14ac:dyDescent="0.3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c r="BU336" s="9"/>
      <c r="BV336" s="9"/>
      <c r="BW336" s="9"/>
      <c r="BX336" s="9"/>
      <c r="BY336" s="9"/>
      <c r="BZ336" s="9"/>
      <c r="CA336" s="9"/>
      <c r="CB336" s="9"/>
      <c r="CC336" s="9"/>
      <c r="CD336" s="9"/>
      <c r="CE336" s="9"/>
      <c r="CF336" s="9"/>
      <c r="CG336" s="9"/>
      <c r="CH336" s="9"/>
      <c r="CI336" s="9"/>
      <c r="CJ336" s="9"/>
      <c r="CK336" s="9"/>
      <c r="CL336" s="9"/>
      <c r="CM336" s="9"/>
      <c r="CN336" s="9"/>
      <c r="CO336" s="9"/>
    </row>
    <row r="337" spans="1:93" s="2" customFormat="1" x14ac:dyDescent="0.3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c r="BQ337" s="9"/>
      <c r="BR337" s="9"/>
      <c r="BS337" s="9"/>
      <c r="BT337" s="9"/>
      <c r="BU337" s="9"/>
      <c r="BV337" s="9"/>
      <c r="BW337" s="9"/>
      <c r="BX337" s="9"/>
      <c r="BY337" s="9"/>
      <c r="BZ337" s="9"/>
      <c r="CA337" s="9"/>
      <c r="CB337" s="9"/>
      <c r="CC337" s="9"/>
      <c r="CD337" s="9"/>
      <c r="CE337" s="9"/>
      <c r="CF337" s="9"/>
      <c r="CG337" s="9"/>
      <c r="CH337" s="9"/>
      <c r="CI337" s="9"/>
      <c r="CJ337" s="9"/>
      <c r="CK337" s="9"/>
      <c r="CL337" s="9"/>
      <c r="CM337" s="9"/>
      <c r="CN337" s="9"/>
      <c r="CO337" s="9"/>
    </row>
    <row r="338" spans="1:93" s="2" customFormat="1" x14ac:dyDescent="0.3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9"/>
      <c r="BV338" s="9"/>
      <c r="BW338" s="9"/>
      <c r="BX338" s="9"/>
      <c r="BY338" s="9"/>
      <c r="BZ338" s="9"/>
      <c r="CA338" s="9"/>
      <c r="CB338" s="9"/>
      <c r="CC338" s="9"/>
      <c r="CD338" s="9"/>
      <c r="CE338" s="9"/>
      <c r="CF338" s="9"/>
      <c r="CG338" s="9"/>
      <c r="CH338" s="9"/>
      <c r="CI338" s="9"/>
      <c r="CJ338" s="9"/>
      <c r="CK338" s="9"/>
      <c r="CL338" s="9"/>
      <c r="CM338" s="9"/>
      <c r="CN338" s="9"/>
      <c r="CO338" s="9"/>
    </row>
    <row r="339" spans="1:93" s="2" customFormat="1" x14ac:dyDescent="0.3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9"/>
      <c r="BV339" s="9"/>
      <c r="BW339" s="9"/>
      <c r="BX339" s="9"/>
      <c r="BY339" s="9"/>
      <c r="BZ339" s="9"/>
      <c r="CA339" s="9"/>
      <c r="CB339" s="9"/>
      <c r="CC339" s="9"/>
      <c r="CD339" s="9"/>
      <c r="CE339" s="9"/>
      <c r="CF339" s="9"/>
      <c r="CG339" s="9"/>
      <c r="CH339" s="9"/>
      <c r="CI339" s="9"/>
      <c r="CJ339" s="9"/>
      <c r="CK339" s="9"/>
      <c r="CL339" s="9"/>
      <c r="CM339" s="9"/>
      <c r="CN339" s="9"/>
      <c r="CO339" s="9"/>
    </row>
    <row r="340" spans="1:93" s="2" customFormat="1" x14ac:dyDescent="0.3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c r="BV340" s="9"/>
      <c r="BW340" s="9"/>
      <c r="BX340" s="9"/>
      <c r="BY340" s="9"/>
      <c r="BZ340" s="9"/>
      <c r="CA340" s="9"/>
      <c r="CB340" s="9"/>
      <c r="CC340" s="9"/>
      <c r="CD340" s="9"/>
      <c r="CE340" s="9"/>
      <c r="CF340" s="9"/>
      <c r="CG340" s="9"/>
      <c r="CH340" s="9"/>
      <c r="CI340" s="9"/>
      <c r="CJ340" s="9"/>
      <c r="CK340" s="9"/>
      <c r="CL340" s="9"/>
      <c r="CM340" s="9"/>
      <c r="CN340" s="9"/>
      <c r="CO340" s="9"/>
    </row>
    <row r="341" spans="1:93" s="2" customFormat="1" x14ac:dyDescent="0.3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c r="BU341" s="9"/>
      <c r="BV341" s="9"/>
      <c r="BW341" s="9"/>
      <c r="BX341" s="9"/>
      <c r="BY341" s="9"/>
      <c r="BZ341" s="9"/>
      <c r="CA341" s="9"/>
      <c r="CB341" s="9"/>
      <c r="CC341" s="9"/>
      <c r="CD341" s="9"/>
      <c r="CE341" s="9"/>
      <c r="CF341" s="9"/>
      <c r="CG341" s="9"/>
      <c r="CH341" s="9"/>
      <c r="CI341" s="9"/>
      <c r="CJ341" s="9"/>
      <c r="CK341" s="9"/>
      <c r="CL341" s="9"/>
      <c r="CM341" s="9"/>
      <c r="CN341" s="9"/>
      <c r="CO341" s="9"/>
    </row>
  </sheetData>
  <mergeCells count="842">
    <mergeCell ref="A3:AJ3"/>
    <mergeCell ref="AK3:AP3"/>
    <mergeCell ref="AQ3:AY3"/>
    <mergeCell ref="BR120:BY120"/>
    <mergeCell ref="DG71:EA71"/>
    <mergeCell ref="A24:CO24"/>
    <mergeCell ref="AW11:CO14"/>
    <mergeCell ref="S133:AD133"/>
    <mergeCell ref="CD113:CE113"/>
    <mergeCell ref="AJ133:BA133"/>
    <mergeCell ref="A113:F113"/>
    <mergeCell ref="X29:CO29"/>
    <mergeCell ref="CD30:CO30"/>
    <mergeCell ref="BG30:CC30"/>
    <mergeCell ref="BG31:CC31"/>
    <mergeCell ref="A31:W31"/>
    <mergeCell ref="X31:BF31"/>
    <mergeCell ref="A25:CO25"/>
    <mergeCell ref="A27:X27"/>
    <mergeCell ref="CJ27:CO27"/>
    <mergeCell ref="CD27:CI27"/>
    <mergeCell ref="BP27:BU27"/>
    <mergeCell ref="BV27:CA27"/>
    <mergeCell ref="X33:BF33"/>
    <mergeCell ref="CD31:CO31"/>
    <mergeCell ref="BG33:CO33"/>
    <mergeCell ref="A33:W34"/>
    <mergeCell ref="BB134:CO134"/>
    <mergeCell ref="CS81:DD81"/>
    <mergeCell ref="N105:AG105"/>
    <mergeCell ref="AH105:BA105"/>
    <mergeCell ref="BB105:BU105"/>
    <mergeCell ref="BV105:CO105"/>
    <mergeCell ref="CS89:DD89"/>
    <mergeCell ref="BS113:CC113"/>
    <mergeCell ref="U113:AE113"/>
    <mergeCell ref="AX128:BI128"/>
    <mergeCell ref="AX129:BI129"/>
    <mergeCell ref="Q121:X121"/>
    <mergeCell ref="Y121:AF121"/>
    <mergeCell ref="AG121:AN121"/>
    <mergeCell ref="AO121:AV121"/>
    <mergeCell ref="CH123:CO123"/>
    <mergeCell ref="BZ123:CG123"/>
    <mergeCell ref="BR123:BY123"/>
    <mergeCell ref="BJ123:BQ123"/>
    <mergeCell ref="G113:S113"/>
    <mergeCell ref="CJ113:CK113"/>
    <mergeCell ref="CH194:CO194"/>
    <mergeCell ref="CH108:CO108"/>
    <mergeCell ref="Y174:BC174"/>
    <mergeCell ref="A173:V173"/>
    <mergeCell ref="A174:V174"/>
    <mergeCell ref="Y173:BC173"/>
    <mergeCell ref="A172:V172"/>
    <mergeCell ref="Y172:BC172"/>
    <mergeCell ref="BG113:BO113"/>
    <mergeCell ref="AX119:BI119"/>
    <mergeCell ref="AX115:CO115"/>
    <mergeCell ref="AE133:AI133"/>
    <mergeCell ref="BB133:BF133"/>
    <mergeCell ref="BG133:BR133"/>
    <mergeCell ref="BS133:BW133"/>
    <mergeCell ref="BX133:CO133"/>
    <mergeCell ref="N132:BA132"/>
    <mergeCell ref="BB132:CO132"/>
    <mergeCell ref="CH122:CO122"/>
    <mergeCell ref="N133:R133"/>
    <mergeCell ref="BJ120:BQ120"/>
    <mergeCell ref="N134:BA134"/>
    <mergeCell ref="Q123:X123"/>
    <mergeCell ref="Y123:AF123"/>
    <mergeCell ref="A2:CO2"/>
    <mergeCell ref="A1:CO1"/>
    <mergeCell ref="BG9:BL9"/>
    <mergeCell ref="BM9:BZ9"/>
    <mergeCell ref="A134:M134"/>
    <mergeCell ref="T23:BP23"/>
    <mergeCell ref="BQ23:CB23"/>
    <mergeCell ref="A10:D10"/>
    <mergeCell ref="E12:H12"/>
    <mergeCell ref="A29:W29"/>
    <mergeCell ref="A30:W30"/>
    <mergeCell ref="X30:BF30"/>
    <mergeCell ref="A32:CO32"/>
    <mergeCell ref="A36:W36"/>
    <mergeCell ref="A37:W37"/>
    <mergeCell ref="X36:BF36"/>
    <mergeCell ref="X35:BF35"/>
    <mergeCell ref="BG35:CO35"/>
    <mergeCell ref="BG36:CO36"/>
    <mergeCell ref="X37:AC37"/>
    <mergeCell ref="AD37:AI37"/>
    <mergeCell ref="CL113:CM113"/>
    <mergeCell ref="BZ120:CG120"/>
    <mergeCell ref="AF50:AJ50"/>
    <mergeCell ref="DR17:EB17"/>
    <mergeCell ref="K20:O20"/>
    <mergeCell ref="P20:CO20"/>
    <mergeCell ref="A21:CO21"/>
    <mergeCell ref="K23:N23"/>
    <mergeCell ref="O23:S23"/>
    <mergeCell ref="AT17:BP17"/>
    <mergeCell ref="BQ17:CF17"/>
    <mergeCell ref="P18:AS18"/>
    <mergeCell ref="K17:O17"/>
    <mergeCell ref="P17:AN17"/>
    <mergeCell ref="AO17:AS17"/>
    <mergeCell ref="AJ37:AO37"/>
    <mergeCell ref="AP37:AU37"/>
    <mergeCell ref="CE37:CJ37"/>
    <mergeCell ref="CK37:CO37"/>
    <mergeCell ref="A35:W35"/>
    <mergeCell ref="X34:BF34"/>
    <mergeCell ref="BG34:CO34"/>
    <mergeCell ref="AV37:BA37"/>
    <mergeCell ref="BB37:BF37"/>
    <mergeCell ref="BG37:BL37"/>
    <mergeCell ref="BM37:BR37"/>
    <mergeCell ref="BS37:BX37"/>
    <mergeCell ref="BY37:CD37"/>
    <mergeCell ref="A40:CO40"/>
    <mergeCell ref="A41:CO41"/>
    <mergeCell ref="A55:U55"/>
    <mergeCell ref="A38:BF38"/>
    <mergeCell ref="BG38:CO38"/>
    <mergeCell ref="BQ53:CC53"/>
    <mergeCell ref="CD53:CO53"/>
    <mergeCell ref="BQ54:CC54"/>
    <mergeCell ref="CD54:CO54"/>
    <mergeCell ref="A54:U54"/>
    <mergeCell ref="A43:CO43"/>
    <mergeCell ref="A44:CO44"/>
    <mergeCell ref="BQ55:CC55"/>
    <mergeCell ref="CD55:CO55"/>
    <mergeCell ref="BQ50:BU50"/>
    <mergeCell ref="A53:U53"/>
    <mergeCell ref="A46:CO46"/>
    <mergeCell ref="AI52:AU52"/>
    <mergeCell ref="V53:AH53"/>
    <mergeCell ref="AI53:AU53"/>
    <mergeCell ref="BQ51:CC51"/>
    <mergeCell ref="CD51:CO51"/>
    <mergeCell ref="AK50:AO50"/>
    <mergeCell ref="AP50:AU50"/>
    <mergeCell ref="V50:Z50"/>
    <mergeCell ref="AA50:AE50"/>
    <mergeCell ref="BQ56:CC56"/>
    <mergeCell ref="CD56:CO56"/>
    <mergeCell ref="BQ57:CC57"/>
    <mergeCell ref="CD57:CO57"/>
    <mergeCell ref="BQ52:CC52"/>
    <mergeCell ref="CD52:CO52"/>
    <mergeCell ref="V57:AH57"/>
    <mergeCell ref="AI57:AU57"/>
    <mergeCell ref="AV53:BP53"/>
    <mergeCell ref="AV54:BP54"/>
    <mergeCell ref="AV55:BP55"/>
    <mergeCell ref="AV56:BP56"/>
    <mergeCell ref="AV57:BP57"/>
    <mergeCell ref="V54:AH54"/>
    <mergeCell ref="AI54:AU54"/>
    <mergeCell ref="V55:AH55"/>
    <mergeCell ref="AI55:AU55"/>
    <mergeCell ref="V56:AH56"/>
    <mergeCell ref="AI56:AU56"/>
    <mergeCell ref="BD63:CO63"/>
    <mergeCell ref="BD60:CO60"/>
    <mergeCell ref="BD59:CO59"/>
    <mergeCell ref="CA50:CE50"/>
    <mergeCell ref="CF50:CJ50"/>
    <mergeCell ref="CK50:CO50"/>
    <mergeCell ref="A57:U57"/>
    <mergeCell ref="A48:AU48"/>
    <mergeCell ref="AV48:CO48"/>
    <mergeCell ref="AV49:CA49"/>
    <mergeCell ref="CB49:CO49"/>
    <mergeCell ref="AH49:AU49"/>
    <mergeCell ref="A49:AG49"/>
    <mergeCell ref="V51:AH51"/>
    <mergeCell ref="AI51:AU51"/>
    <mergeCell ref="V52:AH52"/>
    <mergeCell ref="A56:U56"/>
    <mergeCell ref="BD62:CO62"/>
    <mergeCell ref="BD61:CO61"/>
    <mergeCell ref="A50:U50"/>
    <mergeCell ref="AV50:BP50"/>
    <mergeCell ref="A51:U52"/>
    <mergeCell ref="AV51:BP52"/>
    <mergeCell ref="BV50:BZ50"/>
    <mergeCell ref="AK67:BD67"/>
    <mergeCell ref="CH71:CI71"/>
    <mergeCell ref="CF71:CG71"/>
    <mergeCell ref="A69:CO69"/>
    <mergeCell ref="A71:F71"/>
    <mergeCell ref="BT67:BY67"/>
    <mergeCell ref="U71:AE71"/>
    <mergeCell ref="BG71:BO71"/>
    <mergeCell ref="BS71:CC71"/>
    <mergeCell ref="CE68:CO68"/>
    <mergeCell ref="BZ68:CD68"/>
    <mergeCell ref="CJ71:CK71"/>
    <mergeCell ref="CL71:CM71"/>
    <mergeCell ref="CN71:CO71"/>
    <mergeCell ref="A73:CO73"/>
    <mergeCell ref="A80:M80"/>
    <mergeCell ref="A79:M79"/>
    <mergeCell ref="A77:M77"/>
    <mergeCell ref="AX120:BI120"/>
    <mergeCell ref="AX121:BI121"/>
    <mergeCell ref="BJ122:BQ122"/>
    <mergeCell ref="BR122:BY122"/>
    <mergeCell ref="BZ122:CG122"/>
    <mergeCell ref="CH117:CO117"/>
    <mergeCell ref="Q117:X118"/>
    <mergeCell ref="Y117:AF118"/>
    <mergeCell ref="AG117:AN118"/>
    <mergeCell ref="AO117:AV118"/>
    <mergeCell ref="AO119:AV119"/>
    <mergeCell ref="AX116:BI117"/>
    <mergeCell ref="AX118:BI118"/>
    <mergeCell ref="BJ116:BY116"/>
    <mergeCell ref="BZ116:CO116"/>
    <mergeCell ref="CF113:CG113"/>
    <mergeCell ref="CH113:CI113"/>
    <mergeCell ref="CH120:CO120"/>
    <mergeCell ref="A90:M90"/>
    <mergeCell ref="A89:M89"/>
    <mergeCell ref="CN113:CO113"/>
    <mergeCell ref="BZ110:CD110"/>
    <mergeCell ref="CE110:CO110"/>
    <mergeCell ref="A112:CO112"/>
    <mergeCell ref="AX123:BI123"/>
    <mergeCell ref="AO124:AV124"/>
    <mergeCell ref="BZ121:CG121"/>
    <mergeCell ref="BJ121:BQ121"/>
    <mergeCell ref="CH121:CO121"/>
    <mergeCell ref="BR121:BY121"/>
    <mergeCell ref="Q124:X124"/>
    <mergeCell ref="Y124:AF124"/>
    <mergeCell ref="AG124:AN124"/>
    <mergeCell ref="BJ117:BQ117"/>
    <mergeCell ref="BR117:BY117"/>
    <mergeCell ref="BZ117:CG117"/>
    <mergeCell ref="CH124:CO124"/>
    <mergeCell ref="AX124:BI124"/>
    <mergeCell ref="Y119:AF119"/>
    <mergeCell ref="AG119:AN119"/>
    <mergeCell ref="A116:P118"/>
    <mergeCell ref="Q116:AF116"/>
    <mergeCell ref="AG116:AV116"/>
    <mergeCell ref="BZ124:CG124"/>
    <mergeCell ref="A133:M133"/>
    <mergeCell ref="A128:P128"/>
    <mergeCell ref="AX127:BI127"/>
    <mergeCell ref="A123:P123"/>
    <mergeCell ref="Q119:X119"/>
    <mergeCell ref="A119:P119"/>
    <mergeCell ref="A124:P124"/>
    <mergeCell ref="A125:P125"/>
    <mergeCell ref="A126:P126"/>
    <mergeCell ref="A127:P127"/>
    <mergeCell ref="Q120:X120"/>
    <mergeCell ref="A122:P122"/>
    <mergeCell ref="A121:P121"/>
    <mergeCell ref="A120:P120"/>
    <mergeCell ref="Q122:X122"/>
    <mergeCell ref="Y122:AF122"/>
    <mergeCell ref="AG122:AN122"/>
    <mergeCell ref="AO122:AV122"/>
    <mergeCell ref="Y120:AF120"/>
    <mergeCell ref="AG120:AN120"/>
    <mergeCell ref="AO120:AV120"/>
    <mergeCell ref="A132:M132"/>
    <mergeCell ref="A131:CO131"/>
    <mergeCell ref="BJ129:BQ129"/>
    <mergeCell ref="BR129:BY129"/>
    <mergeCell ref="BZ129:CG129"/>
    <mergeCell ref="CH129:CO129"/>
    <mergeCell ref="Q127:X127"/>
    <mergeCell ref="Y127:AF127"/>
    <mergeCell ref="AG127:AN127"/>
    <mergeCell ref="AO127:AV127"/>
    <mergeCell ref="BJ128:BQ128"/>
    <mergeCell ref="BR128:BY128"/>
    <mergeCell ref="BZ128:CG128"/>
    <mergeCell ref="BJ127:BQ127"/>
    <mergeCell ref="BR127:BY127"/>
    <mergeCell ref="BZ127:CG127"/>
    <mergeCell ref="CH127:CO127"/>
    <mergeCell ref="CH128:CO128"/>
    <mergeCell ref="BJ124:BQ124"/>
    <mergeCell ref="BR124:BY124"/>
    <mergeCell ref="AG123:AN123"/>
    <mergeCell ref="AO123:AV123"/>
    <mergeCell ref="A88:M88"/>
    <mergeCell ref="A87:M87"/>
    <mergeCell ref="A106:M106"/>
    <mergeCell ref="A107:M107"/>
    <mergeCell ref="A94:M94"/>
    <mergeCell ref="A93:M93"/>
    <mergeCell ref="A95:M95"/>
    <mergeCell ref="A96:M96"/>
    <mergeCell ref="A97:M97"/>
    <mergeCell ref="A98:M98"/>
    <mergeCell ref="A99:M99"/>
    <mergeCell ref="A100:M100"/>
    <mergeCell ref="A101:M101"/>
    <mergeCell ref="A102:M102"/>
    <mergeCell ref="A103:M103"/>
    <mergeCell ref="A104:M104"/>
    <mergeCell ref="A105:M105"/>
    <mergeCell ref="A92:M92"/>
    <mergeCell ref="A91:M91"/>
    <mergeCell ref="BL79:BU79"/>
    <mergeCell ref="BV79:CE79"/>
    <mergeCell ref="CF79:CO79"/>
    <mergeCell ref="A74:M76"/>
    <mergeCell ref="N76:W76"/>
    <mergeCell ref="X76:AG76"/>
    <mergeCell ref="AH76:AQ76"/>
    <mergeCell ref="A86:M86"/>
    <mergeCell ref="A85:M85"/>
    <mergeCell ref="A84:M84"/>
    <mergeCell ref="A83:M83"/>
    <mergeCell ref="A82:M82"/>
    <mergeCell ref="A81:M81"/>
    <mergeCell ref="N83:W83"/>
    <mergeCell ref="X83:AG83"/>
    <mergeCell ref="BV80:CE80"/>
    <mergeCell ref="N81:W81"/>
    <mergeCell ref="X81:AG81"/>
    <mergeCell ref="AH81:AQ81"/>
    <mergeCell ref="AR81:BA81"/>
    <mergeCell ref="BB81:BK81"/>
    <mergeCell ref="BL81:BU81"/>
    <mergeCell ref="BV81:CE81"/>
    <mergeCell ref="N80:W80"/>
    <mergeCell ref="X80:AG80"/>
    <mergeCell ref="AH80:AQ80"/>
    <mergeCell ref="AR80:BA80"/>
    <mergeCell ref="BB80:BK80"/>
    <mergeCell ref="BL80:BU80"/>
    <mergeCell ref="BV83:CE83"/>
    <mergeCell ref="CF83:CO83"/>
    <mergeCell ref="CF81:CO81"/>
    <mergeCell ref="N82:W82"/>
    <mergeCell ref="X82:AG82"/>
    <mergeCell ref="AH82:AQ82"/>
    <mergeCell ref="AR82:BA82"/>
    <mergeCell ref="BB82:BK82"/>
    <mergeCell ref="BL82:BU82"/>
    <mergeCell ref="BV82:CE82"/>
    <mergeCell ref="CF82:CO82"/>
    <mergeCell ref="CF80:CO80"/>
    <mergeCell ref="BV84:CE84"/>
    <mergeCell ref="CF84:CO84"/>
    <mergeCell ref="N85:W85"/>
    <mergeCell ref="X85:AG85"/>
    <mergeCell ref="AH85:AQ85"/>
    <mergeCell ref="AR85:BA85"/>
    <mergeCell ref="BB85:BK85"/>
    <mergeCell ref="BL85:BU85"/>
    <mergeCell ref="BV85:CE85"/>
    <mergeCell ref="CF85:CO85"/>
    <mergeCell ref="N84:W84"/>
    <mergeCell ref="X84:AG84"/>
    <mergeCell ref="AH84:AQ84"/>
    <mergeCell ref="AR84:BA84"/>
    <mergeCell ref="BB84:BK84"/>
    <mergeCell ref="BL84:BU84"/>
    <mergeCell ref="BV86:CE86"/>
    <mergeCell ref="CF86:CO86"/>
    <mergeCell ref="N87:W87"/>
    <mergeCell ref="X87:AG87"/>
    <mergeCell ref="AH87:AQ87"/>
    <mergeCell ref="AR87:BA87"/>
    <mergeCell ref="BB87:BK87"/>
    <mergeCell ref="BL87:BU87"/>
    <mergeCell ref="BV87:CE87"/>
    <mergeCell ref="CF87:CO87"/>
    <mergeCell ref="N86:W86"/>
    <mergeCell ref="X86:AG86"/>
    <mergeCell ref="AH86:AQ86"/>
    <mergeCell ref="AR86:BA86"/>
    <mergeCell ref="BB86:BK86"/>
    <mergeCell ref="BL86:BU86"/>
    <mergeCell ref="BV88:CE88"/>
    <mergeCell ref="CF88:CO88"/>
    <mergeCell ref="N89:W89"/>
    <mergeCell ref="X89:AG89"/>
    <mergeCell ref="AH89:AQ89"/>
    <mergeCell ref="AR89:BA89"/>
    <mergeCell ref="BB89:BK89"/>
    <mergeCell ref="BL89:BU89"/>
    <mergeCell ref="BV89:CE89"/>
    <mergeCell ref="CF89:CO89"/>
    <mergeCell ref="N88:W88"/>
    <mergeCell ref="X88:AG88"/>
    <mergeCell ref="AH88:AQ88"/>
    <mergeCell ref="AR88:BA88"/>
    <mergeCell ref="BB88:BK88"/>
    <mergeCell ref="BL88:BU88"/>
    <mergeCell ref="BV90:CE90"/>
    <mergeCell ref="CF90:CO90"/>
    <mergeCell ref="N91:W91"/>
    <mergeCell ref="X91:AG91"/>
    <mergeCell ref="AH91:AQ91"/>
    <mergeCell ref="AR91:BA91"/>
    <mergeCell ref="BB91:BK91"/>
    <mergeCell ref="BL91:BU91"/>
    <mergeCell ref="BV91:CE91"/>
    <mergeCell ref="CF91:CO91"/>
    <mergeCell ref="N90:W90"/>
    <mergeCell ref="X90:AG90"/>
    <mergeCell ref="AH90:AQ90"/>
    <mergeCell ref="AR90:BA90"/>
    <mergeCell ref="BB90:BK90"/>
    <mergeCell ref="BL90:BU90"/>
    <mergeCell ref="BV92:CE92"/>
    <mergeCell ref="CF92:CO92"/>
    <mergeCell ref="N93:W93"/>
    <mergeCell ref="X93:AG93"/>
    <mergeCell ref="AH93:AQ93"/>
    <mergeCell ref="AR93:BA93"/>
    <mergeCell ref="BB93:BK93"/>
    <mergeCell ref="BL93:BU93"/>
    <mergeCell ref="BV93:CE93"/>
    <mergeCell ref="CF93:CO93"/>
    <mergeCell ref="N92:W92"/>
    <mergeCell ref="X92:AG92"/>
    <mergeCell ref="AH92:AQ92"/>
    <mergeCell ref="AR92:BA92"/>
    <mergeCell ref="BB92:BK92"/>
    <mergeCell ref="BL92:BU92"/>
    <mergeCell ref="BV94:CE94"/>
    <mergeCell ref="CF94:CO94"/>
    <mergeCell ref="N95:W95"/>
    <mergeCell ref="X95:AG95"/>
    <mergeCell ref="AH95:AQ95"/>
    <mergeCell ref="AR95:BA95"/>
    <mergeCell ref="BB95:BK95"/>
    <mergeCell ref="BL95:BU95"/>
    <mergeCell ref="BV95:CE95"/>
    <mergeCell ref="CF95:CO95"/>
    <mergeCell ref="N94:W94"/>
    <mergeCell ref="X94:AG94"/>
    <mergeCell ref="AH94:AQ94"/>
    <mergeCell ref="AR94:BA94"/>
    <mergeCell ref="BB94:BK94"/>
    <mergeCell ref="BL94:BU94"/>
    <mergeCell ref="BV96:CE96"/>
    <mergeCell ref="CF96:CO96"/>
    <mergeCell ref="N97:W97"/>
    <mergeCell ref="X97:AG97"/>
    <mergeCell ref="AH97:AQ97"/>
    <mergeCell ref="AR97:BA97"/>
    <mergeCell ref="BB97:BK97"/>
    <mergeCell ref="BL97:BU97"/>
    <mergeCell ref="BV97:CE97"/>
    <mergeCell ref="CF97:CO97"/>
    <mergeCell ref="N96:W96"/>
    <mergeCell ref="X96:AG96"/>
    <mergeCell ref="AH96:AQ96"/>
    <mergeCell ref="AR96:BA96"/>
    <mergeCell ref="BB96:BK96"/>
    <mergeCell ref="BL96:BU96"/>
    <mergeCell ref="BV98:CE98"/>
    <mergeCell ref="CF98:CO98"/>
    <mergeCell ref="N99:W99"/>
    <mergeCell ref="X99:AG99"/>
    <mergeCell ref="AH99:AQ99"/>
    <mergeCell ref="AR99:BA99"/>
    <mergeCell ref="BB99:BK99"/>
    <mergeCell ref="BL99:BU99"/>
    <mergeCell ref="BV99:CE99"/>
    <mergeCell ref="CF99:CO99"/>
    <mergeCell ref="N98:W98"/>
    <mergeCell ref="X98:AG98"/>
    <mergeCell ref="AH98:AQ98"/>
    <mergeCell ref="AR98:BA98"/>
    <mergeCell ref="BB98:BK98"/>
    <mergeCell ref="BL98:BU98"/>
    <mergeCell ref="AR101:BA101"/>
    <mergeCell ref="BB101:BK101"/>
    <mergeCell ref="BL101:BU101"/>
    <mergeCell ref="BV101:CE101"/>
    <mergeCell ref="CF101:CO101"/>
    <mergeCell ref="N100:W100"/>
    <mergeCell ref="X100:AG100"/>
    <mergeCell ref="AH100:AQ100"/>
    <mergeCell ref="AR100:BA100"/>
    <mergeCell ref="BB100:BK100"/>
    <mergeCell ref="BL100:BU100"/>
    <mergeCell ref="O166:U166"/>
    <mergeCell ref="AR103:BA103"/>
    <mergeCell ref="BB103:BK103"/>
    <mergeCell ref="BL103:BU103"/>
    <mergeCell ref="BV103:CE103"/>
    <mergeCell ref="CF103:CO103"/>
    <mergeCell ref="N102:W102"/>
    <mergeCell ref="X102:AG102"/>
    <mergeCell ref="AH102:AQ102"/>
    <mergeCell ref="AR102:BA102"/>
    <mergeCell ref="BB102:BK102"/>
    <mergeCell ref="BL102:BU102"/>
    <mergeCell ref="AH103:AQ103"/>
    <mergeCell ref="AX122:BI122"/>
    <mergeCell ref="A129:P129"/>
    <mergeCell ref="A115:AV115"/>
    <mergeCell ref="CH118:CO118"/>
    <mergeCell ref="BZ118:CG118"/>
    <mergeCell ref="BR118:BY118"/>
    <mergeCell ref="BJ118:BQ118"/>
    <mergeCell ref="BJ119:BQ119"/>
    <mergeCell ref="BR119:BY119"/>
    <mergeCell ref="BZ119:CG119"/>
    <mergeCell ref="CH119:CO119"/>
    <mergeCell ref="A163:N163"/>
    <mergeCell ref="A164:N164"/>
    <mergeCell ref="N74:BA74"/>
    <mergeCell ref="BB74:CO74"/>
    <mergeCell ref="N75:AG75"/>
    <mergeCell ref="AH75:BA75"/>
    <mergeCell ref="BB75:BU75"/>
    <mergeCell ref="BV75:CO75"/>
    <mergeCell ref="A78:M78"/>
    <mergeCell ref="BV104:CE104"/>
    <mergeCell ref="CF104:CO104"/>
    <mergeCell ref="N104:W104"/>
    <mergeCell ref="X104:AG104"/>
    <mergeCell ref="AH104:AQ104"/>
    <mergeCell ref="AR104:BA104"/>
    <mergeCell ref="BB104:BK104"/>
    <mergeCell ref="BL104:BU104"/>
    <mergeCell ref="BV102:CE102"/>
    <mergeCell ref="CF102:CO102"/>
    <mergeCell ref="A162:N162"/>
    <mergeCell ref="BV100:CE100"/>
    <mergeCell ref="CF100:CO100"/>
    <mergeCell ref="N101:W101"/>
    <mergeCell ref="AH101:AQ101"/>
    <mergeCell ref="O167:T167"/>
    <mergeCell ref="AR76:BA76"/>
    <mergeCell ref="BB76:BK76"/>
    <mergeCell ref="BL76:BU76"/>
    <mergeCell ref="AH83:AQ83"/>
    <mergeCell ref="AR83:BA83"/>
    <mergeCell ref="BB83:BK83"/>
    <mergeCell ref="BL83:BU83"/>
    <mergeCell ref="N79:W79"/>
    <mergeCell ref="X79:AG79"/>
    <mergeCell ref="AH79:AQ79"/>
    <mergeCell ref="AR79:BA79"/>
    <mergeCell ref="BB79:BK79"/>
    <mergeCell ref="BK166:BP166"/>
    <mergeCell ref="BQ166:BV166"/>
    <mergeCell ref="BK153:BP153"/>
    <mergeCell ref="BQ153:BV153"/>
    <mergeCell ref="AZ167:BD167"/>
    <mergeCell ref="U167:Y167"/>
    <mergeCell ref="Z167:AD167"/>
    <mergeCell ref="AE167:AI167"/>
    <mergeCell ref="A167:N167"/>
    <mergeCell ref="A166:N166"/>
    <mergeCell ref="A165:N165"/>
    <mergeCell ref="CC155:CH155"/>
    <mergeCell ref="CI155:CO155"/>
    <mergeCell ref="O157:BD158"/>
    <mergeCell ref="BE157:CO158"/>
    <mergeCell ref="O163:AI163"/>
    <mergeCell ref="AJ163:BD163"/>
    <mergeCell ref="AX154:BD154"/>
    <mergeCell ref="CC164:CH164"/>
    <mergeCell ref="CI164:CO164"/>
    <mergeCell ref="CI154:CO154"/>
    <mergeCell ref="BW155:CB155"/>
    <mergeCell ref="AQ155:AW155"/>
    <mergeCell ref="AX155:BD155"/>
    <mergeCell ref="BE154:BJ154"/>
    <mergeCell ref="BK154:BP154"/>
    <mergeCell ref="BQ154:BV154"/>
    <mergeCell ref="BW154:CB154"/>
    <mergeCell ref="CC154:CH154"/>
    <mergeCell ref="V155:AB155"/>
    <mergeCell ref="AJ164:AP164"/>
    <mergeCell ref="AQ164:AW164"/>
    <mergeCell ref="BE155:BJ155"/>
    <mergeCell ref="BK155:BP155"/>
    <mergeCell ref="BQ155:BV155"/>
    <mergeCell ref="AC166:AI166"/>
    <mergeCell ref="BW166:CB166"/>
    <mergeCell ref="CC166:CH166"/>
    <mergeCell ref="CI166:CO166"/>
    <mergeCell ref="BW156:CA156"/>
    <mergeCell ref="BE167:BI167"/>
    <mergeCell ref="BJ167:BM167"/>
    <mergeCell ref="BN167:BQ167"/>
    <mergeCell ref="BR167:BV167"/>
    <mergeCell ref="BW167:CA167"/>
    <mergeCell ref="BW164:CB164"/>
    <mergeCell ref="CB167:CF167"/>
    <mergeCell ref="CG167:CK167"/>
    <mergeCell ref="CL167:CO167"/>
    <mergeCell ref="BW165:CB165"/>
    <mergeCell ref="CC165:CH165"/>
    <mergeCell ref="CI165:CO165"/>
    <mergeCell ref="BE166:BJ166"/>
    <mergeCell ref="BE163:BV163"/>
    <mergeCell ref="BW163:CO163"/>
    <mergeCell ref="AJ166:AP166"/>
    <mergeCell ref="AC148:AK148"/>
    <mergeCell ref="A145:J145"/>
    <mergeCell ref="A144:J144"/>
    <mergeCell ref="A143:J143"/>
    <mergeCell ref="A142:J142"/>
    <mergeCell ref="AC143:AK143"/>
    <mergeCell ref="AL143:AT143"/>
    <mergeCell ref="K142:S142"/>
    <mergeCell ref="AL144:AT144"/>
    <mergeCell ref="K143:S143"/>
    <mergeCell ref="K148:S148"/>
    <mergeCell ref="T148:AB148"/>
    <mergeCell ref="AL145:AT145"/>
    <mergeCell ref="K144:S144"/>
    <mergeCell ref="T144:AB144"/>
    <mergeCell ref="T143:AB143"/>
    <mergeCell ref="AL148:AT148"/>
    <mergeCell ref="AC144:AK144"/>
    <mergeCell ref="AC145:AK145"/>
    <mergeCell ref="K139:S139"/>
    <mergeCell ref="T139:AB139"/>
    <mergeCell ref="K141:S141"/>
    <mergeCell ref="T141:AB141"/>
    <mergeCell ref="A146:B148"/>
    <mergeCell ref="C146:J146"/>
    <mergeCell ref="C147:J147"/>
    <mergeCell ref="C148:J148"/>
    <mergeCell ref="AV136:CO136"/>
    <mergeCell ref="BF137:CO137"/>
    <mergeCell ref="BF138:CO138"/>
    <mergeCell ref="AV139:CO139"/>
    <mergeCell ref="AV138:BE138"/>
    <mergeCell ref="T142:AB142"/>
    <mergeCell ref="AC142:AK142"/>
    <mergeCell ref="AL142:AT142"/>
    <mergeCell ref="AC141:AK141"/>
    <mergeCell ref="AL141:AT141"/>
    <mergeCell ref="A136:AT136"/>
    <mergeCell ref="A137:J138"/>
    <mergeCell ref="K140:S140"/>
    <mergeCell ref="T140:AB140"/>
    <mergeCell ref="AC140:AK140"/>
    <mergeCell ref="AL140:AT140"/>
    <mergeCell ref="AC139:AK139"/>
    <mergeCell ref="AL139:AT139"/>
    <mergeCell ref="A141:J141"/>
    <mergeCell ref="A140:J140"/>
    <mergeCell ref="A139:J139"/>
    <mergeCell ref="AV148:BE148"/>
    <mergeCell ref="AV143:BE143"/>
    <mergeCell ref="AV137:BE137"/>
    <mergeCell ref="AL138:AT138"/>
    <mergeCell ref="K137:AB137"/>
    <mergeCell ref="AC137:AT137"/>
    <mergeCell ref="K138:S138"/>
    <mergeCell ref="T138:AB138"/>
    <mergeCell ref="AC138:AK138"/>
    <mergeCell ref="K147:S147"/>
    <mergeCell ref="T147:AB147"/>
    <mergeCell ref="AC147:AK147"/>
    <mergeCell ref="AL147:AT147"/>
    <mergeCell ref="K146:S146"/>
    <mergeCell ref="T146:AB146"/>
    <mergeCell ref="AC146:AK146"/>
    <mergeCell ref="AL146:AT146"/>
    <mergeCell ref="K145:S145"/>
    <mergeCell ref="T145:AB145"/>
    <mergeCell ref="A155:N155"/>
    <mergeCell ref="O155:U155"/>
    <mergeCell ref="A150:CO150"/>
    <mergeCell ref="A151:N151"/>
    <mergeCell ref="O151:AI151"/>
    <mergeCell ref="O170:BD170"/>
    <mergeCell ref="O168:BD169"/>
    <mergeCell ref="AJ151:BD151"/>
    <mergeCell ref="BE151:BV151"/>
    <mergeCell ref="AQ153:AW153"/>
    <mergeCell ref="A168:N168"/>
    <mergeCell ref="A169:N169"/>
    <mergeCell ref="A170:N170"/>
    <mergeCell ref="AX153:BD153"/>
    <mergeCell ref="O162:AI162"/>
    <mergeCell ref="AJ162:BD162"/>
    <mergeCell ref="BE162:BV162"/>
    <mergeCell ref="BW162:CO162"/>
    <mergeCell ref="A161:CO161"/>
    <mergeCell ref="AX164:BD164"/>
    <mergeCell ref="BW151:CO151"/>
    <mergeCell ref="BE153:BJ153"/>
    <mergeCell ref="AC155:AI155"/>
    <mergeCell ref="AJ155:AP155"/>
    <mergeCell ref="BE168:CO169"/>
    <mergeCell ref="AP156:AT156"/>
    <mergeCell ref="BE164:BJ164"/>
    <mergeCell ref="BK164:BP164"/>
    <mergeCell ref="BQ164:BV164"/>
    <mergeCell ref="O164:U164"/>
    <mergeCell ref="V164:AB164"/>
    <mergeCell ref="AC164:AI164"/>
    <mergeCell ref="AJ154:AP154"/>
    <mergeCell ref="AJ167:AO167"/>
    <mergeCell ref="AP167:AT167"/>
    <mergeCell ref="BE165:BJ165"/>
    <mergeCell ref="BK165:BP165"/>
    <mergeCell ref="BQ165:BV165"/>
    <mergeCell ref="O165:U165"/>
    <mergeCell ref="V165:AB165"/>
    <mergeCell ref="AC165:AI165"/>
    <mergeCell ref="AJ165:AP165"/>
    <mergeCell ref="AQ165:AW165"/>
    <mergeCell ref="AX165:BD165"/>
    <mergeCell ref="AU167:AY167"/>
    <mergeCell ref="AQ166:AW166"/>
    <mergeCell ref="AX166:BD166"/>
    <mergeCell ref="V166:AB166"/>
    <mergeCell ref="BW152:CO152"/>
    <mergeCell ref="A153:N153"/>
    <mergeCell ref="O153:U153"/>
    <mergeCell ref="V153:AB153"/>
    <mergeCell ref="AC153:AI153"/>
    <mergeCell ref="AJ153:AP153"/>
    <mergeCell ref="BW153:CB153"/>
    <mergeCell ref="CC153:CH153"/>
    <mergeCell ref="CI153:CO153"/>
    <mergeCell ref="A152:N152"/>
    <mergeCell ref="O152:AI152"/>
    <mergeCell ref="AC154:AI154"/>
    <mergeCell ref="BD172:CO172"/>
    <mergeCell ref="BD173:CO173"/>
    <mergeCell ref="BD174:CO174"/>
    <mergeCell ref="AV140:CO140"/>
    <mergeCell ref="BF141:CO142"/>
    <mergeCell ref="AV145:BE145"/>
    <mergeCell ref="AV146:BE147"/>
    <mergeCell ref="BF143:CO143"/>
    <mergeCell ref="BF144:CO144"/>
    <mergeCell ref="BF145:CO145"/>
    <mergeCell ref="AV141:BE142"/>
    <mergeCell ref="BF146:CO147"/>
    <mergeCell ref="AV144:BE144"/>
    <mergeCell ref="AU156:AY156"/>
    <mergeCell ref="AZ156:BD156"/>
    <mergeCell ref="BE156:BI156"/>
    <mergeCell ref="BJ156:BM156"/>
    <mergeCell ref="BN156:BQ156"/>
    <mergeCell ref="BR156:BV156"/>
    <mergeCell ref="AQ154:AW154"/>
    <mergeCell ref="BE170:CO170"/>
    <mergeCell ref="AJ152:BD152"/>
    <mergeCell ref="BE152:BV152"/>
    <mergeCell ref="BV76:CE76"/>
    <mergeCell ref="CF76:CO76"/>
    <mergeCell ref="N103:W103"/>
    <mergeCell ref="X103:AG103"/>
    <mergeCell ref="X101:AG101"/>
    <mergeCell ref="A159:N159"/>
    <mergeCell ref="O159:BD159"/>
    <mergeCell ref="BE159:CO159"/>
    <mergeCell ref="BF148:CO148"/>
    <mergeCell ref="CB156:CF156"/>
    <mergeCell ref="CG156:CK156"/>
    <mergeCell ref="CL156:CO156"/>
    <mergeCell ref="A157:N157"/>
    <mergeCell ref="BT109:BY109"/>
    <mergeCell ref="A158:N158"/>
    <mergeCell ref="A156:N156"/>
    <mergeCell ref="O156:T156"/>
    <mergeCell ref="U156:Y156"/>
    <mergeCell ref="Z156:AD156"/>
    <mergeCell ref="AE156:AI156"/>
    <mergeCell ref="AJ156:AO156"/>
    <mergeCell ref="A154:N154"/>
    <mergeCell ref="O154:U154"/>
    <mergeCell ref="V154:AB154"/>
    <mergeCell ref="CH175:CO175"/>
    <mergeCell ref="AC110:BL111"/>
    <mergeCell ref="AF113:AO113"/>
    <mergeCell ref="AS71:BF71"/>
    <mergeCell ref="AS113:BF113"/>
    <mergeCell ref="AF71:AO71"/>
    <mergeCell ref="N107:AG107"/>
    <mergeCell ref="AH107:BA107"/>
    <mergeCell ref="BB107:BU107"/>
    <mergeCell ref="BV107:CO107"/>
    <mergeCell ref="N77:AG77"/>
    <mergeCell ref="AH77:BA77"/>
    <mergeCell ref="BB77:BU77"/>
    <mergeCell ref="BV77:CO77"/>
    <mergeCell ref="N78:AG78"/>
    <mergeCell ref="AH78:BA78"/>
    <mergeCell ref="BB78:BU78"/>
    <mergeCell ref="BV78:CO78"/>
    <mergeCell ref="CD71:CE71"/>
    <mergeCell ref="G71:S71"/>
    <mergeCell ref="N106:AG106"/>
    <mergeCell ref="AH106:BA106"/>
    <mergeCell ref="BB106:BU106"/>
    <mergeCell ref="BV106:CO106"/>
    <mergeCell ref="DE118:DT118"/>
    <mergeCell ref="DE119:DT119"/>
    <mergeCell ref="DE120:DT120"/>
    <mergeCell ref="DE121:DT121"/>
    <mergeCell ref="DE122:DT122"/>
    <mergeCell ref="DE123:DT123"/>
    <mergeCell ref="DE124:DT124"/>
    <mergeCell ref="DE125:DT125"/>
    <mergeCell ref="DE126:DT126"/>
    <mergeCell ref="DE127:DT127"/>
    <mergeCell ref="DE128:DT128"/>
    <mergeCell ref="Q125:X125"/>
    <mergeCell ref="Q126:X126"/>
    <mergeCell ref="Y125:AF125"/>
    <mergeCell ref="Y126:AF126"/>
    <mergeCell ref="Q128:AF128"/>
    <mergeCell ref="Q129:AF129"/>
    <mergeCell ref="AG128:AV128"/>
    <mergeCell ref="AG129:AV129"/>
    <mergeCell ref="AG125:AN125"/>
    <mergeCell ref="AG126:AN126"/>
    <mergeCell ref="AO125:AV125"/>
    <mergeCell ref="AO126:AV126"/>
    <mergeCell ref="CH126:CO126"/>
    <mergeCell ref="BJ125:BQ125"/>
    <mergeCell ref="BZ125:CG125"/>
    <mergeCell ref="CH125:CO125"/>
    <mergeCell ref="BJ126:BQ126"/>
    <mergeCell ref="BR126:BY126"/>
    <mergeCell ref="BZ126:CG126"/>
    <mergeCell ref="AX125:BI125"/>
    <mergeCell ref="AX126:BI126"/>
    <mergeCell ref="BR125:BY125"/>
  </mergeCells>
  <conditionalFormatting sqref="N81:W81">
    <cfRule type="cellIs" dxfId="7" priority="3" operator="equal">
      <formula>5</formula>
    </cfRule>
    <cfRule type="cellIs" dxfId="6" priority="4" operator="equal">
      <formula>$N$82+$N$83+$N$84</formula>
    </cfRule>
  </conditionalFormatting>
  <conditionalFormatting sqref="N89:W89">
    <cfRule type="cellIs" dxfId="5" priority="1" operator="equal">
      <formula>5</formula>
    </cfRule>
    <cfRule type="cellIs" dxfId="4" priority="2" operator="equal">
      <formula>$N$82+$N$83+$N$84</formula>
    </cfRule>
  </conditionalFormatting>
  <conditionalFormatting sqref="CS81:DD81">
    <cfRule type="cellIs" dxfId="3" priority="5" operator="equal">
      <formula>$N$81</formula>
    </cfRule>
    <cfRule type="cellIs" dxfId="2" priority="7" operator="equal">
      <formula>3</formula>
    </cfRule>
    <cfRule type="cellIs" dxfId="1" priority="8" operator="equal">
      <formula>$N$81</formula>
    </cfRule>
  </conditionalFormatting>
  <conditionalFormatting sqref="CS89:DD89">
    <cfRule type="cellIs" dxfId="0" priority="6" operator="equal">
      <formula>$N$89</formula>
    </cfRule>
  </conditionalFormatting>
  <pageMargins left="0.82677165354330717" right="0.43307086614173229" top="0.27559055118110237" bottom="0.35433070866141736" header="0.23622047244094491" footer="0.47244094488188981"/>
  <pageSetup paperSize="9" scale="95" orientation="portrait" r:id="rId1"/>
  <headerFooter differentFirst="1">
    <oddFooter>&amp;C&amp;10&amp;K04+000BANGALORE ELECTRICITY SUPPLY COMPANY LIMITED</oddFooter>
  </headerFooter>
  <rowBreaks count="2" manualBreakCount="2">
    <brk id="66" max="92" man="1"/>
    <brk id="108" max="92" man="1"/>
  </rowBreaks>
  <colBreaks count="1" manualBreakCount="1">
    <brk id="93" max="1048575" man="1"/>
  </colBreaks>
  <drawing r:id="rId2"/>
  <extLst>
    <ext xmlns:x14="http://schemas.microsoft.com/office/spreadsheetml/2009/9/main" uri="{CCE6A557-97BC-4b89-ADB6-D9C93CAAB3DF}">
      <x14:dataValidations xmlns:xm="http://schemas.microsoft.com/office/excel/2006/main" count="20">
        <x14:dataValidation type="list" allowBlank="1" showInputMessage="1" showErrorMessage="1" xr:uid="{00000000-0002-0000-0200-000000000000}">
          <x14:formula1>
            <xm:f>'C-Report_Data list'!$A$68:$A$70</xm:f>
          </x14:formula1>
          <xm:sqref>O163:CO163 O152:CO152</xm:sqref>
        </x14:dataValidation>
        <x14:dataValidation type="list" allowBlank="1" showInputMessage="1" showErrorMessage="1" xr:uid="{00000000-0002-0000-0200-000001000000}">
          <x14:formula1>
            <xm:f>'C-Report_Data list'!$A$1:$A$2</xm:f>
          </x14:formula1>
          <xm:sqref>AO17 O23</xm:sqref>
        </x14:dataValidation>
        <x14:dataValidation type="list" allowBlank="1" showInputMessage="1" showErrorMessage="1" xr:uid="{00000000-0002-0000-0200-000002000000}">
          <x14:formula1>
            <xm:f>'C-Report_Data list'!$A$23:$A$24</xm:f>
          </x14:formula1>
          <xm:sqref>CJ27:CO27 BV27:CA27</xm:sqref>
        </x14:dataValidation>
        <x14:dataValidation type="list" allowBlank="1" showInputMessage="1" showErrorMessage="1" xr:uid="{00000000-0002-0000-0200-000003000000}">
          <x14:formula1>
            <xm:f>'C-Report_Data list'!$A$30:$A$33</xm:f>
          </x14:formula1>
          <xm:sqref>BJ119:CO119</xm:sqref>
        </x14:dataValidation>
        <x14:dataValidation type="list" allowBlank="1" showInputMessage="1" showErrorMessage="1" xr:uid="{00000000-0002-0000-0200-000004000000}">
          <x14:formula1>
            <xm:f>'C-Report_Data list'!$A$65:$A$66</xm:f>
          </x14:formula1>
          <xm:sqref>BJ127:CO127</xm:sqref>
        </x14:dataValidation>
        <x14:dataValidation type="list" allowBlank="1" showInputMessage="1" showErrorMessage="1" xr:uid="{00000000-0002-0000-0200-000005000000}">
          <x14:formula1>
            <xm:f>'C-Report_Data list'!$A$59:$A$63</xm:f>
          </x14:formula1>
          <xm:sqref>BJ128:CO128</xm:sqref>
        </x14:dataValidation>
        <x14:dataValidation type="list" allowBlank="1" showInputMessage="1" showErrorMessage="1" xr:uid="{00000000-0002-0000-0200-000006000000}">
          <x14:formula1>
            <xm:f>'C-Report_Data list'!$A$71:$A$72</xm:f>
          </x14:formula1>
          <xm:sqref>N107 AH107:CO107</xm:sqref>
        </x14:dataValidation>
        <x14:dataValidation type="list" allowBlank="1" showInputMessage="1" showErrorMessage="1" xr:uid="{00000000-0002-0000-0200-000007000000}">
          <x14:formula1>
            <xm:f>'C-Report_Data list'!$A$45:$A$46</xm:f>
          </x14:formula1>
          <xm:sqref>K140:AT140</xm:sqref>
        </x14:dataValidation>
        <x14:dataValidation type="list" allowBlank="1" showInputMessage="1" showErrorMessage="1" xr:uid="{00000000-0002-0000-0200-000008000000}">
          <x14:formula1>
            <xm:f>'C-Report_Data list'!$A$35:$A$39</xm:f>
          </x14:formula1>
          <xm:sqref>BJ129:CO129</xm:sqref>
        </x14:dataValidation>
        <x14:dataValidation type="list" allowBlank="1" showInputMessage="1" showErrorMessage="1" xr:uid="{00000000-0002-0000-0200-000009000000}">
          <x14:formula1>
            <xm:f>'C-Report_Data list'!$A$74:$A$76</xm:f>
          </x14:formula1>
          <xm:sqref>X36:BF36</xm:sqref>
        </x14:dataValidation>
        <x14:dataValidation type="list" allowBlank="1" showInputMessage="1" showErrorMessage="1" xr:uid="{00000000-0002-0000-0200-00000A000000}">
          <x14:formula1>
            <xm:f>'C-Report_Data list'!$A$99:$A$110</xm:f>
          </x14:formula1>
          <xm:sqref>CD31:CO31</xm:sqref>
        </x14:dataValidation>
        <x14:dataValidation type="list" allowBlank="1" showInputMessage="1" showErrorMessage="1" xr:uid="{00000000-0002-0000-0200-00000B000000}">
          <x14:formula1>
            <xm:f>'C-Report_Data list'!$A$78:$A$79</xm:f>
          </x14:formula1>
          <xm:sqref>BJ120:CO120</xm:sqref>
        </x14:dataValidation>
        <x14:dataValidation type="list" allowBlank="1" showInputMessage="1" showErrorMessage="1" xr:uid="{00000000-0002-0000-0200-00000C000000}">
          <x14:formula1>
            <xm:f>'C-Report_Data list'!$A$96:$A$97</xm:f>
          </x14:formula1>
          <xm:sqref>BJ121:CO121</xm:sqref>
        </x14:dataValidation>
        <x14:dataValidation type="list" allowBlank="1" showInputMessage="1" showErrorMessage="1" xr:uid="{00000000-0002-0000-0200-00000D000000}">
          <x14:formula1>
            <xm:f>'C-Report_Data list'!$A$93:$A$94</xm:f>
          </x14:formula1>
          <xm:sqref>BJ122:CO122</xm:sqref>
        </x14:dataValidation>
        <x14:dataValidation type="list" allowBlank="1" showInputMessage="1" showErrorMessage="1" xr:uid="{00000000-0002-0000-0200-00000E000000}">
          <x14:formula1>
            <xm:f>'C-Report_Data list'!$A$112:$A$116</xm:f>
          </x14:formula1>
          <xm:sqref>BJ123:CO123</xm:sqref>
        </x14:dataValidation>
        <x14:dataValidation type="list" allowBlank="1" showInputMessage="1" showErrorMessage="1" xr:uid="{00000000-0002-0000-0200-00000F000000}">
          <x14:formula1>
            <xm:f>'C-Report_Data list'!$A$118:$A$120</xm:f>
          </x14:formula1>
          <xm:sqref>BJ118:CO118</xm:sqref>
        </x14:dataValidation>
        <x14:dataValidation type="list" allowBlank="1" showInputMessage="1" showErrorMessage="1" xr:uid="{00000000-0002-0000-0200-000010000000}">
          <x14:formula1>
            <xm:f>'PCT-Report_Data list'!$A$67:$A$70</xm:f>
          </x14:formula1>
          <xm:sqref>BG36:CO36</xm:sqref>
        </x14:dataValidation>
        <x14:dataValidation type="list" allowBlank="1" showInputMessage="1" showErrorMessage="1" xr:uid="{00000000-0002-0000-0200-000011000000}">
          <x14:formula1>
            <xm:f>'PCT-Report_Data list'!$A$116:$A$119</xm:f>
          </x14:formula1>
          <xm:sqref>E12:H12</xm:sqref>
        </x14:dataValidation>
        <x14:dataValidation type="list" allowBlank="1" showInputMessage="1" showErrorMessage="1" xr:uid="{00000000-0002-0000-0200-000012000000}">
          <x14:formula1>
            <xm:f>'C-Report_Data list'!$A$4:$A$21</xm:f>
          </x14:formula1>
          <xm:sqref>AW11:CO14</xm:sqref>
        </x14:dataValidation>
        <x14:dataValidation type="list" allowBlank="1" showInputMessage="1" showErrorMessage="1" xr:uid="{00000000-0002-0000-0200-000013000000}">
          <x14:formula1>
            <xm:f>'C-Report_Data list'!$A$123:$A$125</xm:f>
          </x14:formula1>
          <xm:sqref>S133:AD133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T39"/>
  <sheetViews>
    <sheetView topLeftCell="A3" zoomScale="58" workbookViewId="0">
      <selection activeCell="W24" sqref="W24"/>
    </sheetView>
  </sheetViews>
  <sheetFormatPr defaultRowHeight="14.5" x14ac:dyDescent="0.35"/>
  <cols>
    <col min="2" max="2" width="17.7265625" customWidth="1"/>
    <col min="3" max="3" width="17" customWidth="1"/>
    <col min="4" max="4" width="10.453125" customWidth="1"/>
    <col min="5" max="5" width="13.7265625" customWidth="1"/>
    <col min="12" max="12" width="13.7265625" customWidth="1"/>
    <col min="16" max="16" width="11" customWidth="1"/>
    <col min="18" max="18" width="11.54296875" bestFit="1" customWidth="1"/>
    <col min="19" max="19" width="12.1796875" customWidth="1"/>
  </cols>
  <sheetData>
    <row r="1" spans="1:98" ht="21.5" x14ac:dyDescent="0.35">
      <c r="A1" t="s">
        <v>457</v>
      </c>
      <c r="B1" s="279" t="s">
        <v>415</v>
      </c>
      <c r="C1" s="279"/>
      <c r="E1" s="56" t="s">
        <v>0</v>
      </c>
      <c r="G1" s="55"/>
      <c r="H1" s="55"/>
      <c r="I1" s="55"/>
      <c r="J1" s="55"/>
      <c r="K1" s="55"/>
      <c r="L1" s="55"/>
      <c r="M1" s="55"/>
      <c r="N1" s="55"/>
      <c r="O1" s="55"/>
      <c r="P1" t="s">
        <v>364</v>
      </c>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c r="BN1" s="55"/>
      <c r="BO1" s="55"/>
      <c r="BP1" s="55"/>
      <c r="BQ1" s="55"/>
      <c r="BR1" s="55"/>
      <c r="BS1" s="55"/>
      <c r="BT1" s="55"/>
      <c r="BU1" s="55"/>
      <c r="BV1" s="55"/>
      <c r="BW1" s="55"/>
      <c r="BX1" s="55"/>
      <c r="BY1" s="55"/>
      <c r="BZ1" s="55"/>
      <c r="CA1" s="55"/>
      <c r="CB1" s="55"/>
      <c r="CC1" s="55"/>
      <c r="CD1" s="55"/>
      <c r="CE1" s="55"/>
      <c r="CF1" s="55"/>
      <c r="CG1" s="55"/>
      <c r="CH1" s="55"/>
      <c r="CI1" s="55"/>
      <c r="CJ1" s="55"/>
      <c r="CK1" s="55"/>
      <c r="CL1" s="55"/>
      <c r="CM1" s="55"/>
      <c r="CN1" s="55"/>
      <c r="CO1" s="55"/>
      <c r="CP1" s="55"/>
      <c r="CQ1" s="55"/>
      <c r="CR1" s="55"/>
      <c r="CS1" s="55"/>
      <c r="CT1" s="55"/>
    </row>
    <row r="2" spans="1:98" x14ac:dyDescent="0.35">
      <c r="A2" t="s">
        <v>8</v>
      </c>
      <c r="P2" t="s">
        <v>365</v>
      </c>
    </row>
    <row r="3" spans="1:98" x14ac:dyDescent="0.35">
      <c r="A3" t="s">
        <v>458</v>
      </c>
      <c r="E3" t="s">
        <v>366</v>
      </c>
      <c r="F3" s="279" t="s">
        <v>414</v>
      </c>
      <c r="G3" s="279"/>
      <c r="H3" s="279"/>
      <c r="I3" t="s">
        <v>367</v>
      </c>
      <c r="J3" s="279" t="s">
        <v>461</v>
      </c>
      <c r="K3" s="279"/>
      <c r="L3" s="279"/>
      <c r="M3" s="279"/>
      <c r="P3" t="s">
        <v>363</v>
      </c>
    </row>
    <row r="4" spans="1:98" x14ac:dyDescent="0.35">
      <c r="A4" t="s">
        <v>363</v>
      </c>
      <c r="E4" t="s">
        <v>368</v>
      </c>
      <c r="F4" s="279" t="s">
        <v>459</v>
      </c>
      <c r="G4" s="279"/>
      <c r="H4" s="279"/>
      <c r="I4" t="s">
        <v>369</v>
      </c>
      <c r="J4" s="279" t="s">
        <v>461</v>
      </c>
      <c r="K4" s="279"/>
      <c r="L4" s="279"/>
      <c r="M4" s="279"/>
    </row>
    <row r="5" spans="1:98" x14ac:dyDescent="0.35">
      <c r="E5" t="s">
        <v>370</v>
      </c>
      <c r="G5" s="279" t="s">
        <v>460</v>
      </c>
      <c r="H5" s="279"/>
      <c r="I5" s="279"/>
      <c r="J5" s="279"/>
      <c r="K5" s="279"/>
      <c r="L5" s="279"/>
      <c r="M5" s="279"/>
    </row>
    <row r="6" spans="1:98" x14ac:dyDescent="0.35">
      <c r="A6" t="s">
        <v>465</v>
      </c>
      <c r="E6" t="s">
        <v>371</v>
      </c>
      <c r="G6" s="279" t="s">
        <v>462</v>
      </c>
      <c r="H6" s="279"/>
      <c r="I6" t="s">
        <v>372</v>
      </c>
      <c r="J6" s="279" t="s">
        <v>412</v>
      </c>
      <c r="K6" s="279"/>
      <c r="L6" t="s">
        <v>373</v>
      </c>
      <c r="M6" s="279" t="s">
        <v>463</v>
      </c>
      <c r="N6" s="279"/>
    </row>
    <row r="8" spans="1:98" x14ac:dyDescent="0.35">
      <c r="C8" t="s">
        <v>417</v>
      </c>
      <c r="D8" s="279" t="s">
        <v>416</v>
      </c>
      <c r="E8" s="279"/>
      <c r="F8" s="279"/>
      <c r="G8" s="279" t="s">
        <v>374</v>
      </c>
      <c r="H8" s="279"/>
      <c r="I8" s="279"/>
      <c r="J8" s="279" t="s">
        <v>418</v>
      </c>
      <c r="K8" s="279"/>
      <c r="L8" s="279"/>
      <c r="M8" t="s">
        <v>375</v>
      </c>
    </row>
    <row r="9" spans="1:98" x14ac:dyDescent="0.35">
      <c r="C9" t="s">
        <v>419</v>
      </c>
      <c r="F9" s="279" t="s">
        <v>420</v>
      </c>
      <c r="G9" s="279"/>
      <c r="H9" s="279"/>
      <c r="I9" s="279"/>
      <c r="J9" s="279"/>
      <c r="K9" s="279"/>
      <c r="L9" s="279"/>
      <c r="M9" t="s">
        <v>376</v>
      </c>
      <c r="O9" s="279" t="s">
        <v>421</v>
      </c>
      <c r="P9" s="279"/>
      <c r="Q9" s="279"/>
      <c r="R9" s="279"/>
      <c r="S9" s="279"/>
    </row>
    <row r="11" spans="1:98" x14ac:dyDescent="0.35">
      <c r="B11" s="111" t="s">
        <v>377</v>
      </c>
      <c r="C11" s="111" t="s">
        <v>102</v>
      </c>
      <c r="D11" s="111" t="s">
        <v>378</v>
      </c>
      <c r="E11" s="111" t="s">
        <v>379</v>
      </c>
      <c r="F11" s="111"/>
      <c r="G11" s="111" t="s">
        <v>380</v>
      </c>
      <c r="H11" s="111" t="s">
        <v>170</v>
      </c>
      <c r="I11" s="111" t="s">
        <v>381</v>
      </c>
      <c r="J11" s="111" t="s">
        <v>106</v>
      </c>
      <c r="K11" s="293" t="s">
        <v>382</v>
      </c>
      <c r="L11" s="293" t="s">
        <v>383</v>
      </c>
      <c r="M11" s="289" t="s">
        <v>384</v>
      </c>
      <c r="N11" s="280" t="s">
        <v>385</v>
      </c>
      <c r="O11" s="280"/>
      <c r="P11" s="279" t="s">
        <v>391</v>
      </c>
      <c r="Q11" s="279"/>
      <c r="R11" s="279"/>
      <c r="S11" s="279"/>
    </row>
    <row r="12" spans="1:98" x14ac:dyDescent="0.35">
      <c r="B12" s="111"/>
      <c r="C12" s="111"/>
      <c r="D12" s="111"/>
      <c r="E12" s="111"/>
      <c r="F12" s="111"/>
      <c r="G12" s="111"/>
      <c r="H12" s="111"/>
      <c r="I12" s="111"/>
      <c r="J12" s="111"/>
      <c r="K12" s="293"/>
      <c r="L12" s="293"/>
      <c r="M12" s="289"/>
      <c r="N12" s="57" t="s">
        <v>386</v>
      </c>
      <c r="O12" s="57" t="s">
        <v>387</v>
      </c>
      <c r="P12" s="294" t="s">
        <v>390</v>
      </c>
      <c r="Q12" s="111"/>
      <c r="R12" s="57" t="s">
        <v>388</v>
      </c>
      <c r="S12" s="57" t="s">
        <v>389</v>
      </c>
    </row>
    <row r="13" spans="1:98" x14ac:dyDescent="0.35">
      <c r="B13" s="57"/>
      <c r="C13" s="57"/>
      <c r="D13" s="57"/>
      <c r="E13" s="280"/>
      <c r="F13" s="280"/>
      <c r="G13" s="57"/>
      <c r="H13" s="57"/>
      <c r="I13" s="57"/>
      <c r="J13" s="57"/>
      <c r="K13" s="57"/>
      <c r="L13" s="57"/>
      <c r="M13" s="57"/>
      <c r="N13" s="57"/>
      <c r="O13" s="57"/>
      <c r="P13" s="285" t="s">
        <v>392</v>
      </c>
      <c r="Q13" s="57" t="s">
        <v>393</v>
      </c>
      <c r="R13" s="57"/>
      <c r="S13" s="57"/>
    </row>
    <row r="14" spans="1:98" x14ac:dyDescent="0.35">
      <c r="B14" s="57"/>
      <c r="C14" s="57"/>
      <c r="D14" s="57"/>
      <c r="E14" s="280"/>
      <c r="F14" s="280"/>
      <c r="G14" s="57"/>
      <c r="H14" s="57"/>
      <c r="I14" s="57"/>
      <c r="J14" s="57"/>
      <c r="K14" s="57"/>
      <c r="L14" s="57"/>
      <c r="M14" s="57"/>
      <c r="N14" s="57"/>
      <c r="O14" s="57"/>
      <c r="P14" s="286"/>
      <c r="Q14" s="57" t="s">
        <v>394</v>
      </c>
      <c r="R14" s="57"/>
      <c r="S14" s="57"/>
    </row>
    <row r="15" spans="1:98" x14ac:dyDescent="0.35">
      <c r="P15" s="289" t="s">
        <v>422</v>
      </c>
      <c r="Q15" s="57" t="s">
        <v>393</v>
      </c>
      <c r="R15" s="57"/>
      <c r="S15" s="57"/>
    </row>
    <row r="16" spans="1:98" ht="15" customHeight="1" x14ac:dyDescent="0.35">
      <c r="B16" s="293" t="s">
        <v>395</v>
      </c>
      <c r="C16" s="280" t="s">
        <v>396</v>
      </c>
      <c r="D16" s="280"/>
      <c r="E16" s="280"/>
      <c r="F16" s="280"/>
      <c r="G16" s="280"/>
      <c r="H16" s="280" t="s">
        <v>405</v>
      </c>
      <c r="I16" s="280"/>
      <c r="J16" s="280"/>
      <c r="K16" s="280"/>
      <c r="L16" s="280"/>
      <c r="M16" s="280"/>
      <c r="N16" s="280"/>
      <c r="O16" s="280"/>
      <c r="P16" s="280"/>
      <c r="Q16" s="57" t="s">
        <v>394</v>
      </c>
      <c r="R16" s="57"/>
      <c r="S16" s="57"/>
    </row>
    <row r="17" spans="2:19" x14ac:dyDescent="0.35">
      <c r="B17" s="293"/>
      <c r="C17" s="290" t="s">
        <v>397</v>
      </c>
      <c r="D17" s="290"/>
      <c r="E17" s="290"/>
      <c r="F17" s="290"/>
      <c r="G17" s="290"/>
      <c r="H17" s="58"/>
      <c r="M17" s="279" t="s">
        <v>409</v>
      </c>
      <c r="N17" s="279"/>
      <c r="O17" s="59"/>
      <c r="P17" s="289" t="s">
        <v>423</v>
      </c>
      <c r="Q17" s="57" t="s">
        <v>393</v>
      </c>
      <c r="R17" s="57"/>
      <c r="S17" s="57"/>
    </row>
    <row r="18" spans="2:19" x14ac:dyDescent="0.35">
      <c r="B18" s="293"/>
      <c r="C18" s="290" t="s">
        <v>398</v>
      </c>
      <c r="D18" s="290"/>
      <c r="E18" s="290"/>
      <c r="F18" s="290"/>
      <c r="G18" s="290"/>
      <c r="H18" s="291" t="s">
        <v>406</v>
      </c>
      <c r="I18" s="292"/>
      <c r="J18" s="279" t="s">
        <v>410</v>
      </c>
      <c r="K18" s="279"/>
      <c r="L18">
        <v>1</v>
      </c>
      <c r="M18" s="279" t="s">
        <v>413</v>
      </c>
      <c r="N18" s="279"/>
      <c r="O18" s="282"/>
      <c r="P18" s="280"/>
      <c r="Q18" s="57" t="s">
        <v>394</v>
      </c>
      <c r="R18" s="57"/>
      <c r="S18" s="57"/>
    </row>
    <row r="19" spans="2:19" x14ac:dyDescent="0.35">
      <c r="B19" s="293"/>
      <c r="C19" s="290" t="s">
        <v>399</v>
      </c>
      <c r="D19" s="290"/>
      <c r="E19" s="290"/>
      <c r="F19" s="290"/>
      <c r="G19" s="290"/>
      <c r="H19" s="58"/>
      <c r="L19">
        <v>2</v>
      </c>
      <c r="M19" s="279" t="s">
        <v>414</v>
      </c>
      <c r="N19" s="279"/>
      <c r="O19" s="282"/>
      <c r="P19" s="289" t="s">
        <v>424</v>
      </c>
      <c r="Q19" s="57" t="s">
        <v>393</v>
      </c>
      <c r="R19" s="57"/>
      <c r="S19" s="57"/>
    </row>
    <row r="20" spans="2:19" x14ac:dyDescent="0.35">
      <c r="B20" s="293"/>
      <c r="C20" s="290" t="s">
        <v>400</v>
      </c>
      <c r="D20" s="290"/>
      <c r="E20" s="290"/>
      <c r="F20" s="290"/>
      <c r="G20" s="290"/>
      <c r="H20" s="291" t="s">
        <v>407</v>
      </c>
      <c r="I20" s="292"/>
      <c r="J20" s="279" t="s">
        <v>411</v>
      </c>
      <c r="K20" s="279"/>
      <c r="L20">
        <v>3</v>
      </c>
      <c r="M20" s="279" t="s">
        <v>415</v>
      </c>
      <c r="N20" s="279"/>
      <c r="O20" s="282"/>
      <c r="P20" s="280"/>
      <c r="Q20" s="57" t="s">
        <v>394</v>
      </c>
      <c r="R20" s="57"/>
      <c r="S20" s="57"/>
    </row>
    <row r="21" spans="2:19" x14ac:dyDescent="0.35">
      <c r="B21" s="293"/>
      <c r="C21" s="290" t="s">
        <v>401</v>
      </c>
      <c r="D21" s="290"/>
      <c r="E21" s="290"/>
      <c r="F21" s="290"/>
      <c r="G21" s="290"/>
      <c r="H21" s="58"/>
      <c r="O21" s="59"/>
      <c r="P21" s="289" t="s">
        <v>99</v>
      </c>
      <c r="Q21" s="57" t="s">
        <v>393</v>
      </c>
      <c r="R21" s="57"/>
      <c r="S21" s="57"/>
    </row>
    <row r="22" spans="2:19" x14ac:dyDescent="0.35">
      <c r="B22" s="293"/>
      <c r="C22" s="290" t="s">
        <v>402</v>
      </c>
      <c r="D22" s="290"/>
      <c r="E22" s="290"/>
      <c r="F22" s="290"/>
      <c r="G22" s="290"/>
      <c r="H22" s="58" t="s">
        <v>408</v>
      </c>
      <c r="J22" s="279" t="s">
        <v>412</v>
      </c>
      <c r="K22" s="279"/>
      <c r="O22" s="59"/>
      <c r="P22" s="280"/>
      <c r="Q22" s="57" t="s">
        <v>394</v>
      </c>
      <c r="R22" s="57"/>
      <c r="S22" s="57"/>
    </row>
    <row r="23" spans="2:19" x14ac:dyDescent="0.35">
      <c r="B23" s="293"/>
      <c r="C23" s="57" t="s">
        <v>403</v>
      </c>
      <c r="D23" s="57" t="s">
        <v>464</v>
      </c>
      <c r="E23" s="280"/>
      <c r="F23" s="280"/>
      <c r="G23" s="280"/>
      <c r="H23" s="58"/>
      <c r="O23" s="59"/>
      <c r="P23" s="289" t="s">
        <v>425</v>
      </c>
      <c r="Q23" s="57" t="s">
        <v>393</v>
      </c>
      <c r="R23" s="57"/>
      <c r="S23" s="57"/>
    </row>
    <row r="24" spans="2:19" x14ac:dyDescent="0.35">
      <c r="B24" s="293"/>
      <c r="C24" s="57"/>
      <c r="D24" s="57" t="s">
        <v>404</v>
      </c>
      <c r="E24" s="280"/>
      <c r="F24" s="280"/>
      <c r="G24" s="280"/>
      <c r="H24" s="60"/>
      <c r="I24" s="61"/>
      <c r="J24" s="61"/>
      <c r="K24" s="61"/>
      <c r="L24" s="61"/>
      <c r="M24" s="61"/>
      <c r="N24" s="61"/>
      <c r="O24" s="62"/>
      <c r="P24" s="280"/>
      <c r="Q24" s="57" t="s">
        <v>394</v>
      </c>
      <c r="R24" s="57"/>
      <c r="S24" s="57"/>
    </row>
    <row r="25" spans="2:19" x14ac:dyDescent="0.35">
      <c r="H25" s="280"/>
      <c r="I25" s="280"/>
      <c r="J25" s="280"/>
      <c r="K25" s="280" t="s">
        <v>442</v>
      </c>
      <c r="L25" s="280"/>
      <c r="M25" s="280" t="s">
        <v>443</v>
      </c>
      <c r="N25" s="280"/>
      <c r="O25" s="280"/>
      <c r="P25" s="285" t="s">
        <v>426</v>
      </c>
      <c r="Q25" s="57" t="s">
        <v>393</v>
      </c>
      <c r="R25" s="57"/>
      <c r="S25" s="57"/>
    </row>
    <row r="26" spans="2:19" x14ac:dyDescent="0.35">
      <c r="B26" s="287" t="s">
        <v>427</v>
      </c>
      <c r="C26" s="288"/>
      <c r="D26" s="286"/>
      <c r="E26" s="288" t="s">
        <v>436</v>
      </c>
      <c r="F26" s="288"/>
      <c r="G26" s="286"/>
      <c r="H26" s="280"/>
      <c r="I26" s="280"/>
      <c r="J26" s="280"/>
      <c r="K26" s="280" t="s">
        <v>444</v>
      </c>
      <c r="L26" s="280"/>
      <c r="M26" s="280" t="s">
        <v>444</v>
      </c>
      <c r="N26" s="280"/>
      <c r="O26" s="280"/>
      <c r="P26" s="286"/>
      <c r="Q26" s="57" t="s">
        <v>394</v>
      </c>
      <c r="R26" s="57"/>
      <c r="S26" s="57"/>
    </row>
    <row r="27" spans="2:19" x14ac:dyDescent="0.35">
      <c r="B27" s="58" t="s">
        <v>428</v>
      </c>
      <c r="C27" s="279" t="s">
        <v>459</v>
      </c>
      <c r="D27" s="279"/>
      <c r="G27" s="59"/>
      <c r="H27" s="281" t="s">
        <v>445</v>
      </c>
      <c r="I27" s="281"/>
      <c r="J27" s="281"/>
      <c r="K27" s="280"/>
      <c r="L27" s="280"/>
      <c r="M27" s="280"/>
      <c r="N27" s="280"/>
      <c r="O27" s="280"/>
      <c r="P27" s="285"/>
      <c r="Q27" s="57"/>
      <c r="R27" s="57"/>
      <c r="S27" s="57"/>
    </row>
    <row r="28" spans="2:19" x14ac:dyDescent="0.35">
      <c r="B28" s="58" t="s">
        <v>429</v>
      </c>
      <c r="C28" s="279" t="s">
        <v>459</v>
      </c>
      <c r="D28" s="279"/>
      <c r="E28" t="s">
        <v>437</v>
      </c>
      <c r="F28" s="279" t="s">
        <v>412</v>
      </c>
      <c r="G28" s="282"/>
      <c r="H28" s="281" t="s">
        <v>446</v>
      </c>
      <c r="I28" s="281"/>
      <c r="J28" s="281"/>
      <c r="K28" s="280"/>
      <c r="L28" s="280"/>
      <c r="M28" s="280"/>
      <c r="N28" s="280"/>
      <c r="O28" s="280"/>
      <c r="P28" s="286"/>
      <c r="Q28" s="57"/>
      <c r="R28" s="57"/>
      <c r="S28" s="57"/>
    </row>
    <row r="29" spans="2:19" x14ac:dyDescent="0.35">
      <c r="B29" s="58" t="s">
        <v>430</v>
      </c>
      <c r="C29" s="279" t="s">
        <v>459</v>
      </c>
      <c r="D29" s="279"/>
      <c r="E29" s="50">
        <v>2</v>
      </c>
      <c r="F29" s="279" t="s">
        <v>412</v>
      </c>
      <c r="G29" s="282"/>
      <c r="H29" s="281" t="s">
        <v>447</v>
      </c>
      <c r="I29" s="281"/>
      <c r="J29" s="281"/>
      <c r="K29" s="280"/>
      <c r="L29" s="280"/>
      <c r="M29" s="280"/>
      <c r="N29" s="280"/>
      <c r="O29" s="280"/>
      <c r="P29" s="283" t="s">
        <v>451</v>
      </c>
      <c r="Q29" s="283"/>
      <c r="R29" s="283"/>
      <c r="S29" s="283"/>
    </row>
    <row r="30" spans="2:19" x14ac:dyDescent="0.35">
      <c r="B30" s="58" t="s">
        <v>431</v>
      </c>
      <c r="C30" s="279" t="s">
        <v>459</v>
      </c>
      <c r="D30" s="279"/>
      <c r="E30" t="s">
        <v>439</v>
      </c>
      <c r="F30" s="279" t="s">
        <v>412</v>
      </c>
      <c r="G30" s="282"/>
      <c r="H30" s="57" t="s">
        <v>448</v>
      </c>
      <c r="I30" s="57"/>
      <c r="J30" s="57"/>
      <c r="K30" s="280"/>
      <c r="L30" s="280"/>
      <c r="M30" s="280"/>
      <c r="N30" s="280"/>
      <c r="O30" s="280"/>
      <c r="P30" s="284"/>
      <c r="Q30" s="284"/>
      <c r="R30" s="284"/>
      <c r="S30" s="284"/>
    </row>
    <row r="31" spans="2:19" x14ac:dyDescent="0.35">
      <c r="B31" s="58" t="s">
        <v>432</v>
      </c>
      <c r="C31" s="279" t="s">
        <v>459</v>
      </c>
      <c r="D31" s="279"/>
      <c r="E31" t="s">
        <v>438</v>
      </c>
      <c r="F31" s="279" t="s">
        <v>412</v>
      </c>
      <c r="G31" s="282"/>
      <c r="H31" s="281" t="s">
        <v>449</v>
      </c>
      <c r="I31" s="281"/>
      <c r="J31" s="281"/>
      <c r="K31" s="280"/>
      <c r="L31" s="280"/>
      <c r="M31" s="280"/>
      <c r="N31" s="280"/>
      <c r="O31" s="280"/>
    </row>
    <row r="32" spans="2:19" x14ac:dyDescent="0.35">
      <c r="B32" s="58" t="s">
        <v>433</v>
      </c>
      <c r="C32" s="279" t="s">
        <v>459</v>
      </c>
      <c r="D32" s="279"/>
      <c r="E32" t="s">
        <v>440</v>
      </c>
      <c r="F32" s="279" t="s">
        <v>412</v>
      </c>
      <c r="G32" s="282"/>
      <c r="H32" s="281" t="s">
        <v>387</v>
      </c>
      <c r="I32" s="281"/>
      <c r="J32" s="281"/>
      <c r="K32" s="280"/>
      <c r="L32" s="280"/>
      <c r="M32" s="280"/>
      <c r="N32" s="280"/>
      <c r="O32" s="280"/>
    </row>
    <row r="33" spans="2:39" x14ac:dyDescent="0.35">
      <c r="B33" s="58" t="s">
        <v>434</v>
      </c>
      <c r="C33" s="279" t="s">
        <v>459</v>
      </c>
      <c r="D33" s="279"/>
      <c r="E33" t="s">
        <v>441</v>
      </c>
      <c r="F33" s="279" t="s">
        <v>412</v>
      </c>
      <c r="G33" s="282"/>
      <c r="H33" s="111" t="s">
        <v>450</v>
      </c>
      <c r="I33" s="111"/>
      <c r="J33" s="111"/>
      <c r="K33" s="280"/>
      <c r="L33" s="280"/>
      <c r="M33" s="280"/>
      <c r="N33" s="280"/>
      <c r="O33" s="280"/>
      <c r="P33" s="279" t="s">
        <v>452</v>
      </c>
      <c r="Q33" s="279"/>
      <c r="R33" s="279"/>
      <c r="S33" s="279"/>
    </row>
    <row r="34" spans="2:39" x14ac:dyDescent="0.35">
      <c r="B34" s="58" t="s">
        <v>435</v>
      </c>
      <c r="C34" s="279" t="s">
        <v>459</v>
      </c>
      <c r="D34" s="279"/>
      <c r="G34" s="59"/>
      <c r="H34" s="111"/>
      <c r="I34" s="111"/>
      <c r="J34" s="111"/>
      <c r="K34" s="280"/>
      <c r="L34" s="280"/>
      <c r="M34" s="280"/>
      <c r="N34" s="280"/>
      <c r="O34" s="280"/>
    </row>
    <row r="35" spans="2:39" x14ac:dyDescent="0.35">
      <c r="B35" s="60"/>
      <c r="C35" s="61"/>
      <c r="D35" s="61"/>
      <c r="E35" s="61"/>
      <c r="F35" s="61"/>
      <c r="G35" s="62"/>
      <c r="H35" s="111"/>
      <c r="I35" s="111"/>
      <c r="J35" s="111"/>
      <c r="K35" s="280"/>
      <c r="L35" s="280"/>
      <c r="M35" s="280"/>
      <c r="N35" s="280"/>
      <c r="O35" s="280"/>
    </row>
    <row r="37" spans="2:39" x14ac:dyDescent="0.35">
      <c r="P37" t="s">
        <v>455</v>
      </c>
    </row>
    <row r="38" spans="2:39" x14ac:dyDescent="0.35">
      <c r="B38" t="s">
        <v>75</v>
      </c>
      <c r="C38" s="31"/>
      <c r="D38" s="31"/>
      <c r="E38" s="31"/>
      <c r="F38" s="31"/>
      <c r="G38" s="31"/>
      <c r="H38" s="31"/>
      <c r="I38" s="31"/>
      <c r="J38" s="31"/>
      <c r="K38" s="31"/>
      <c r="L38" s="31"/>
      <c r="M38" s="31"/>
      <c r="N38" s="31"/>
      <c r="O38" s="31"/>
      <c r="P38" t="s">
        <v>456</v>
      </c>
      <c r="Q38" s="31"/>
      <c r="R38" s="31"/>
      <c r="S38" s="31"/>
      <c r="T38" s="31"/>
      <c r="U38" s="31"/>
      <c r="V38" s="31"/>
      <c r="W38" s="31"/>
      <c r="X38" s="31"/>
      <c r="Y38" s="31"/>
      <c r="Z38" s="31"/>
      <c r="AA38" s="31"/>
      <c r="AB38" s="31"/>
      <c r="AC38" s="31"/>
      <c r="AD38" s="31"/>
      <c r="AE38" s="31"/>
      <c r="AF38" s="31"/>
      <c r="AG38" s="31"/>
      <c r="AH38" s="31"/>
      <c r="AI38" s="31"/>
      <c r="AJ38" s="31"/>
      <c r="AK38" s="31"/>
      <c r="AL38" s="31"/>
      <c r="AM38" s="31"/>
    </row>
    <row r="39" spans="2:39" x14ac:dyDescent="0.35">
      <c r="B39" t="s">
        <v>453</v>
      </c>
      <c r="C39" t="s">
        <v>454</v>
      </c>
    </row>
  </sheetData>
  <mergeCells count="91">
    <mergeCell ref="P11:S11"/>
    <mergeCell ref="P12:Q12"/>
    <mergeCell ref="P13:P14"/>
    <mergeCell ref="E14:F14"/>
    <mergeCell ref="L11:L12"/>
    <mergeCell ref="M11:M12"/>
    <mergeCell ref="N11:O11"/>
    <mergeCell ref="K11:K12"/>
    <mergeCell ref="J11:J12"/>
    <mergeCell ref="I11:I12"/>
    <mergeCell ref="H11:H12"/>
    <mergeCell ref="G11:G12"/>
    <mergeCell ref="E11:F12"/>
    <mergeCell ref="M17:N17"/>
    <mergeCell ref="J18:K18"/>
    <mergeCell ref="J20:K20"/>
    <mergeCell ref="C16:G16"/>
    <mergeCell ref="C17:G17"/>
    <mergeCell ref="C18:G18"/>
    <mergeCell ref="C19:G19"/>
    <mergeCell ref="C20:G20"/>
    <mergeCell ref="P25:P26"/>
    <mergeCell ref="J22:K22"/>
    <mergeCell ref="M18:O18"/>
    <mergeCell ref="M19:O19"/>
    <mergeCell ref="M20:O20"/>
    <mergeCell ref="P15:P16"/>
    <mergeCell ref="P17:P18"/>
    <mergeCell ref="P19:P20"/>
    <mergeCell ref="P21:P22"/>
    <mergeCell ref="P23:P24"/>
    <mergeCell ref="P29:S30"/>
    <mergeCell ref="P33:S33"/>
    <mergeCell ref="F3:H3"/>
    <mergeCell ref="F4:H4"/>
    <mergeCell ref="G5:M5"/>
    <mergeCell ref="J3:M3"/>
    <mergeCell ref="J4:M4"/>
    <mergeCell ref="H33:J35"/>
    <mergeCell ref="K33:L35"/>
    <mergeCell ref="M33:O35"/>
    <mergeCell ref="P27:P28"/>
    <mergeCell ref="E26:G26"/>
    <mergeCell ref="K25:L25"/>
    <mergeCell ref="M25:O25"/>
    <mergeCell ref="K26:L26"/>
    <mergeCell ref="M26:O26"/>
    <mergeCell ref="C34:D34"/>
    <mergeCell ref="G6:H6"/>
    <mergeCell ref="J6:K6"/>
    <mergeCell ref="M6:N6"/>
    <mergeCell ref="E23:G23"/>
    <mergeCell ref="E24:G24"/>
    <mergeCell ref="H16:O16"/>
    <mergeCell ref="K27:L32"/>
    <mergeCell ref="M27:O32"/>
    <mergeCell ref="B26:D26"/>
    <mergeCell ref="H27:J27"/>
    <mergeCell ref="D8:F8"/>
    <mergeCell ref="G8:I8"/>
    <mergeCell ref="J8:L8"/>
    <mergeCell ref="F9:L9"/>
    <mergeCell ref="O9:S9"/>
    <mergeCell ref="F33:G33"/>
    <mergeCell ref="C27:D27"/>
    <mergeCell ref="C28:D28"/>
    <mergeCell ref="C29:D29"/>
    <mergeCell ref="C30:D30"/>
    <mergeCell ref="C31:D31"/>
    <mergeCell ref="C32:D32"/>
    <mergeCell ref="C33:D33"/>
    <mergeCell ref="H32:J32"/>
    <mergeCell ref="F28:G28"/>
    <mergeCell ref="F29:G29"/>
    <mergeCell ref="F30:G30"/>
    <mergeCell ref="F31:G31"/>
    <mergeCell ref="F32:G32"/>
    <mergeCell ref="B1:C1"/>
    <mergeCell ref="H25:J26"/>
    <mergeCell ref="H28:J28"/>
    <mergeCell ref="H29:J29"/>
    <mergeCell ref="H31:J31"/>
    <mergeCell ref="E13:F13"/>
    <mergeCell ref="C21:G21"/>
    <mergeCell ref="C22:G22"/>
    <mergeCell ref="H18:I18"/>
    <mergeCell ref="H20:I20"/>
    <mergeCell ref="B16:B24"/>
    <mergeCell ref="D11:D12"/>
    <mergeCell ref="C11:C12"/>
    <mergeCell ref="B11:B1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1:A125"/>
  <sheetViews>
    <sheetView topLeftCell="A88" workbookViewId="0">
      <selection activeCell="A126" sqref="A126"/>
    </sheetView>
  </sheetViews>
  <sheetFormatPr defaultColWidth="8.81640625" defaultRowHeight="14.5" x14ac:dyDescent="0.35"/>
  <sheetData>
    <row r="1" spans="1:1" x14ac:dyDescent="0.35">
      <c r="A1" s="1" t="s">
        <v>13</v>
      </c>
    </row>
    <row r="2" spans="1:1" x14ac:dyDescent="0.35">
      <c r="A2" s="1" t="s">
        <v>14</v>
      </c>
    </row>
    <row r="3" spans="1:1" x14ac:dyDescent="0.35">
      <c r="A3" s="1"/>
    </row>
    <row r="4" spans="1:1" x14ac:dyDescent="0.35">
      <c r="A4" s="1" t="s">
        <v>15</v>
      </c>
    </row>
    <row r="5" spans="1:1" x14ac:dyDescent="0.35">
      <c r="A5" s="1" t="s">
        <v>337</v>
      </c>
    </row>
    <row r="6" spans="1:1" x14ac:dyDescent="0.35">
      <c r="A6" s="1" t="s">
        <v>336</v>
      </c>
    </row>
    <row r="7" spans="1:1" x14ac:dyDescent="0.35">
      <c r="A7" s="1" t="s">
        <v>335</v>
      </c>
    </row>
    <row r="8" spans="1:1" x14ac:dyDescent="0.35">
      <c r="A8" s="1" t="s">
        <v>334</v>
      </c>
    </row>
    <row r="9" spans="1:1" x14ac:dyDescent="0.35">
      <c r="A9" s="1" t="s">
        <v>19</v>
      </c>
    </row>
    <row r="10" spans="1:1" x14ac:dyDescent="0.35">
      <c r="A10" s="1" t="s">
        <v>333</v>
      </c>
    </row>
    <row r="11" spans="1:1" x14ac:dyDescent="0.35">
      <c r="A11" s="1" t="s">
        <v>332</v>
      </c>
    </row>
    <row r="12" spans="1:1" x14ac:dyDescent="0.35">
      <c r="A12" s="1" t="s">
        <v>345</v>
      </c>
    </row>
    <row r="13" spans="1:1" x14ac:dyDescent="0.35">
      <c r="A13" s="1" t="s">
        <v>346</v>
      </c>
    </row>
    <row r="14" spans="1:1" x14ac:dyDescent="0.35">
      <c r="A14" s="1" t="s">
        <v>347</v>
      </c>
    </row>
    <row r="15" spans="1:1" x14ac:dyDescent="0.35">
      <c r="A15" s="1" t="s">
        <v>348</v>
      </c>
    </row>
    <row r="16" spans="1:1" x14ac:dyDescent="0.35">
      <c r="A16" s="1" t="s">
        <v>349</v>
      </c>
    </row>
    <row r="17" spans="1:1" x14ac:dyDescent="0.35">
      <c r="A17" s="1" t="s">
        <v>350</v>
      </c>
    </row>
    <row r="18" spans="1:1" x14ac:dyDescent="0.35">
      <c r="A18" s="1" t="s">
        <v>351</v>
      </c>
    </row>
    <row r="19" spans="1:1" x14ac:dyDescent="0.35">
      <c r="A19" s="1" t="s">
        <v>352</v>
      </c>
    </row>
    <row r="20" spans="1:1" x14ac:dyDescent="0.35">
      <c r="A20" s="1" t="s">
        <v>353</v>
      </c>
    </row>
    <row r="21" spans="1:1" x14ac:dyDescent="0.35">
      <c r="A21" s="1" t="s">
        <v>354</v>
      </c>
    </row>
    <row r="22" spans="1:1" x14ac:dyDescent="0.35">
      <c r="A22" s="1"/>
    </row>
    <row r="23" spans="1:1" x14ac:dyDescent="0.35">
      <c r="A23" s="1" t="s">
        <v>22</v>
      </c>
    </row>
    <row r="24" spans="1:1" x14ac:dyDescent="0.35">
      <c r="A24" s="1" t="s">
        <v>23</v>
      </c>
    </row>
    <row r="25" spans="1:1" x14ac:dyDescent="0.35">
      <c r="A25" s="1"/>
    </row>
    <row r="26" spans="1:1" x14ac:dyDescent="0.35">
      <c r="A26" s="1" t="s">
        <v>24</v>
      </c>
    </row>
    <row r="27" spans="1:1" x14ac:dyDescent="0.35">
      <c r="A27" s="1" t="s">
        <v>25</v>
      </c>
    </row>
    <row r="28" spans="1:1" x14ac:dyDescent="0.35">
      <c r="A28" s="1" t="s">
        <v>26</v>
      </c>
    </row>
    <row r="29" spans="1:1" x14ac:dyDescent="0.35">
      <c r="A29" s="1"/>
    </row>
    <row r="30" spans="1:1" x14ac:dyDescent="0.35">
      <c r="A30" s="1" t="s">
        <v>27</v>
      </c>
    </row>
    <row r="31" spans="1:1" x14ac:dyDescent="0.35">
      <c r="A31" s="1" t="s">
        <v>28</v>
      </c>
    </row>
    <row r="32" spans="1:1" x14ac:dyDescent="0.35">
      <c r="A32" s="1" t="s">
        <v>29</v>
      </c>
    </row>
    <row r="33" spans="1:1" x14ac:dyDescent="0.35">
      <c r="A33" s="1" t="s">
        <v>122</v>
      </c>
    </row>
    <row r="34" spans="1:1" x14ac:dyDescent="0.35">
      <c r="A34" s="1"/>
    </row>
    <row r="35" spans="1:1" x14ac:dyDescent="0.35">
      <c r="A35" s="1" t="s">
        <v>30</v>
      </c>
    </row>
    <row r="36" spans="1:1" x14ac:dyDescent="0.35">
      <c r="A36" s="1" t="s">
        <v>31</v>
      </c>
    </row>
    <row r="37" spans="1:1" x14ac:dyDescent="0.35">
      <c r="A37" s="1" t="s">
        <v>32</v>
      </c>
    </row>
    <row r="38" spans="1:1" x14ac:dyDescent="0.35">
      <c r="A38" s="1" t="s">
        <v>33</v>
      </c>
    </row>
    <row r="39" spans="1:1" x14ac:dyDescent="0.35">
      <c r="A39" s="1" t="s">
        <v>34</v>
      </c>
    </row>
    <row r="40" spans="1:1" x14ac:dyDescent="0.35">
      <c r="A40" s="1"/>
    </row>
    <row r="41" spans="1:1" x14ac:dyDescent="0.35">
      <c r="A41" s="1"/>
    </row>
    <row r="42" spans="1:1" x14ac:dyDescent="0.35">
      <c r="A42" s="1" t="s">
        <v>35</v>
      </c>
    </row>
    <row r="43" spans="1:1" x14ac:dyDescent="0.35">
      <c r="A43" s="1" t="s">
        <v>36</v>
      </c>
    </row>
    <row r="44" spans="1:1" x14ac:dyDescent="0.35">
      <c r="A44" s="1"/>
    </row>
    <row r="45" spans="1:1" x14ac:dyDescent="0.35">
      <c r="A45" s="1" t="s">
        <v>212</v>
      </c>
    </row>
    <row r="46" spans="1:1" x14ac:dyDescent="0.35">
      <c r="A46" s="1" t="s">
        <v>213</v>
      </c>
    </row>
    <row r="47" spans="1:1" x14ac:dyDescent="0.35">
      <c r="A47" s="1"/>
    </row>
    <row r="48" spans="1:1" x14ac:dyDescent="0.35">
      <c r="A48" s="1"/>
    </row>
    <row r="49" spans="1:1" x14ac:dyDescent="0.35">
      <c r="A49" s="1" t="s">
        <v>37</v>
      </c>
    </row>
    <row r="50" spans="1:1" x14ac:dyDescent="0.35">
      <c r="A50" s="1" t="s">
        <v>38</v>
      </c>
    </row>
    <row r="51" spans="1:1" x14ac:dyDescent="0.35">
      <c r="A51" s="1" t="s">
        <v>39</v>
      </c>
    </row>
    <row r="52" spans="1:1" x14ac:dyDescent="0.35">
      <c r="A52" s="1"/>
    </row>
    <row r="53" spans="1:1" x14ac:dyDescent="0.35">
      <c r="A53" s="1" t="s">
        <v>222</v>
      </c>
    </row>
    <row r="54" spans="1:1" x14ac:dyDescent="0.35">
      <c r="A54" s="1" t="s">
        <v>223</v>
      </c>
    </row>
    <row r="55" spans="1:1" x14ac:dyDescent="0.35">
      <c r="A55" s="1"/>
    </row>
    <row r="56" spans="1:1" x14ac:dyDescent="0.35">
      <c r="A56" s="1" t="s">
        <v>224</v>
      </c>
    </row>
    <row r="57" spans="1:1" x14ac:dyDescent="0.35">
      <c r="A57" s="1" t="s">
        <v>225</v>
      </c>
    </row>
    <row r="59" spans="1:1" x14ac:dyDescent="0.35">
      <c r="A59" s="1" t="s">
        <v>117</v>
      </c>
    </row>
    <row r="60" spans="1:1" x14ac:dyDescent="0.35">
      <c r="A60" s="1" t="s">
        <v>118</v>
      </c>
    </row>
    <row r="61" spans="1:1" x14ac:dyDescent="0.35">
      <c r="A61" s="1" t="s">
        <v>121</v>
      </c>
    </row>
    <row r="62" spans="1:1" x14ac:dyDescent="0.35">
      <c r="A62" s="1" t="s">
        <v>119</v>
      </c>
    </row>
    <row r="63" spans="1:1" x14ac:dyDescent="0.35">
      <c r="A63" s="1" t="s">
        <v>120</v>
      </c>
    </row>
    <row r="65" spans="1:1" x14ac:dyDescent="0.35">
      <c r="A65" s="1" t="s">
        <v>129</v>
      </c>
    </row>
    <row r="66" spans="1:1" x14ac:dyDescent="0.35">
      <c r="A66" s="1" t="s">
        <v>130</v>
      </c>
    </row>
    <row r="68" spans="1:1" x14ac:dyDescent="0.35">
      <c r="A68" t="s">
        <v>173</v>
      </c>
    </row>
    <row r="69" spans="1:1" x14ac:dyDescent="0.35">
      <c r="A69" t="s">
        <v>174</v>
      </c>
    </row>
    <row r="70" spans="1:1" x14ac:dyDescent="0.35">
      <c r="A70" t="s">
        <v>207</v>
      </c>
    </row>
    <row r="71" spans="1:1" x14ac:dyDescent="0.35">
      <c r="A71" t="s">
        <v>210</v>
      </c>
    </row>
    <row r="72" spans="1:1" x14ac:dyDescent="0.35">
      <c r="A72" t="s">
        <v>211</v>
      </c>
    </row>
    <row r="74" spans="1:1" x14ac:dyDescent="0.35">
      <c r="A74" t="s">
        <v>300</v>
      </c>
    </row>
    <row r="75" spans="1:1" x14ac:dyDescent="0.35">
      <c r="A75" t="s">
        <v>298</v>
      </c>
    </row>
    <row r="76" spans="1:1" x14ac:dyDescent="0.35">
      <c r="A76" t="s">
        <v>301</v>
      </c>
    </row>
    <row r="78" spans="1:1" x14ac:dyDescent="0.35">
      <c r="A78" t="s">
        <v>304</v>
      </c>
    </row>
    <row r="79" spans="1:1" x14ac:dyDescent="0.35">
      <c r="A79" t="s">
        <v>303</v>
      </c>
    </row>
    <row r="81" spans="1:1" x14ac:dyDescent="0.35">
      <c r="A81" s="50">
        <v>0.5</v>
      </c>
    </row>
    <row r="82" spans="1:1" x14ac:dyDescent="0.35">
      <c r="A82" s="50">
        <v>0.2</v>
      </c>
    </row>
    <row r="83" spans="1:1" x14ac:dyDescent="0.35">
      <c r="A83" t="s">
        <v>303</v>
      </c>
    </row>
    <row r="85" spans="1:1" x14ac:dyDescent="0.35">
      <c r="A85" t="s">
        <v>319</v>
      </c>
    </row>
    <row r="86" spans="1:1" x14ac:dyDescent="0.35">
      <c r="A86" t="s">
        <v>320</v>
      </c>
    </row>
    <row r="88" spans="1:1" x14ac:dyDescent="0.35">
      <c r="A88" t="s">
        <v>322</v>
      </c>
    </row>
    <row r="89" spans="1:1" x14ac:dyDescent="0.35">
      <c r="A89" t="s">
        <v>321</v>
      </c>
    </row>
    <row r="90" spans="1:1" x14ac:dyDescent="0.35">
      <c r="A90" t="s">
        <v>323</v>
      </c>
    </row>
    <row r="91" spans="1:1" x14ac:dyDescent="0.35">
      <c r="A91" t="s">
        <v>324</v>
      </c>
    </row>
    <row r="93" spans="1:1" x14ac:dyDescent="0.35">
      <c r="A93" t="s">
        <v>325</v>
      </c>
    </row>
    <row r="94" spans="1:1" x14ac:dyDescent="0.35">
      <c r="A94" t="s">
        <v>326</v>
      </c>
    </row>
    <row r="96" spans="1:1" x14ac:dyDescent="0.35">
      <c r="A96" t="s">
        <v>305</v>
      </c>
    </row>
    <row r="97" spans="1:1" x14ac:dyDescent="0.35">
      <c r="A97" t="s">
        <v>306</v>
      </c>
    </row>
    <row r="99" spans="1:1" x14ac:dyDescent="0.35">
      <c r="A99" t="s">
        <v>308</v>
      </c>
    </row>
    <row r="100" spans="1:1" x14ac:dyDescent="0.35">
      <c r="A100" t="s">
        <v>307</v>
      </c>
    </row>
    <row r="101" spans="1:1" x14ac:dyDescent="0.35">
      <c r="A101" t="s">
        <v>309</v>
      </c>
    </row>
    <row r="102" spans="1:1" x14ac:dyDescent="0.35">
      <c r="A102" t="s">
        <v>311</v>
      </c>
    </row>
    <row r="103" spans="1:1" x14ac:dyDescent="0.35">
      <c r="A103" t="s">
        <v>310</v>
      </c>
    </row>
    <row r="104" spans="1:1" x14ac:dyDescent="0.35">
      <c r="A104" t="s">
        <v>315</v>
      </c>
    </row>
    <row r="105" spans="1:1" x14ac:dyDescent="0.35">
      <c r="A105" t="s">
        <v>316</v>
      </c>
    </row>
    <row r="106" spans="1:1" x14ac:dyDescent="0.35">
      <c r="A106" t="s">
        <v>312</v>
      </c>
    </row>
    <row r="107" spans="1:1" x14ac:dyDescent="0.35">
      <c r="A107" t="s">
        <v>313</v>
      </c>
    </row>
    <row r="108" spans="1:1" x14ac:dyDescent="0.35">
      <c r="A108" t="s">
        <v>314</v>
      </c>
    </row>
    <row r="109" spans="1:1" x14ac:dyDescent="0.35">
      <c r="A109" t="s">
        <v>317</v>
      </c>
    </row>
    <row r="110" spans="1:1" x14ac:dyDescent="0.35">
      <c r="A110" t="s">
        <v>318</v>
      </c>
    </row>
    <row r="112" spans="1:1" x14ac:dyDescent="0.35">
      <c r="A112" s="51">
        <v>1600</v>
      </c>
    </row>
    <row r="113" spans="1:1" x14ac:dyDescent="0.35">
      <c r="A113" s="51">
        <v>10000</v>
      </c>
    </row>
    <row r="114" spans="1:1" x14ac:dyDescent="0.35">
      <c r="A114" s="51">
        <v>16000</v>
      </c>
    </row>
    <row r="115" spans="1:1" x14ac:dyDescent="0.35">
      <c r="A115" s="51">
        <v>50000</v>
      </c>
    </row>
    <row r="116" spans="1:1" x14ac:dyDescent="0.35">
      <c r="A116" s="50" t="s">
        <v>327</v>
      </c>
    </row>
    <row r="118" spans="1:1" x14ac:dyDescent="0.35">
      <c r="A118" t="s">
        <v>328</v>
      </c>
    </row>
    <row r="119" spans="1:1" x14ac:dyDescent="0.35">
      <c r="A119" t="s">
        <v>329</v>
      </c>
    </row>
    <row r="120" spans="1:1" x14ac:dyDescent="0.35">
      <c r="A120" t="s">
        <v>207</v>
      </c>
    </row>
    <row r="123" spans="1:1" x14ac:dyDescent="0.35">
      <c r="A123" t="s">
        <v>124</v>
      </c>
    </row>
    <row r="124" spans="1:1" x14ac:dyDescent="0.35">
      <c r="A124" t="s">
        <v>355</v>
      </c>
    </row>
    <row r="125" spans="1:1" x14ac:dyDescent="0.35">
      <c r="A125"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PCT,Rating-Report- HT</vt:lpstr>
      <vt:lpstr>PCT-Report_Data list</vt:lpstr>
      <vt:lpstr>Rating Report</vt:lpstr>
      <vt:lpstr>PC-TEST,Rating LT</vt:lpstr>
      <vt:lpstr>C-Report_Data list</vt:lpstr>
      <vt:lpstr>'PCT,Rating-Report- HT'!Print_Area</vt:lpstr>
      <vt:lpstr>'Rating Report'!Print_Area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2024-07-29T10:40:19Z</dcterms:modified>
</cp:coreProperties>
</file>